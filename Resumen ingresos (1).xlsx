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 pcia" sheetId="1" r:id="rId5"/>
    <sheet state="visible" name="2026" sheetId="2" r:id="rId6"/>
    <sheet state="visible" name="2025" sheetId="3" r:id="rId7"/>
    <sheet state="visible" name="2024" sheetId="4" r:id="rId8"/>
    <sheet state="visible" name="2023" sheetId="5" r:id="rId9"/>
    <sheet state="visible" name="2022" sheetId="6" r:id="rId10"/>
    <sheet state="visible" name="2020" sheetId="7" r:id="rId11"/>
    <sheet state="visible" name="2019" sheetId="8" r:id="rId12"/>
    <sheet state="visible" name="2018" sheetId="9" r:id="rId13"/>
    <sheet state="visible" name="2017" sheetId="10" r:id="rId14"/>
  </sheets>
  <definedNames/>
  <calcPr/>
</workbook>
</file>

<file path=xl/sharedStrings.xml><?xml version="1.0" encoding="utf-8"?>
<sst xmlns="http://schemas.openxmlformats.org/spreadsheetml/2006/main" count="2527" uniqueCount="525">
  <si>
    <t>02/01</t>
  </si>
  <si>
    <t>10/01</t>
  </si>
  <si>
    <t>17/01</t>
  </si>
  <si>
    <t>Socio</t>
  </si>
  <si>
    <t>Totales</t>
  </si>
  <si>
    <t>ALVAREZ LUCAS</t>
  </si>
  <si>
    <t>ADV 0401</t>
  </si>
  <si>
    <t>ADV 1201</t>
  </si>
  <si>
    <t>ADV 1901</t>
  </si>
  <si>
    <t>ADV 2601</t>
  </si>
  <si>
    <t>ADV 2112</t>
  </si>
  <si>
    <t>NQN 0501</t>
  </si>
  <si>
    <t>NQN 1501</t>
  </si>
  <si>
    <t>NQN 2601</t>
  </si>
  <si>
    <t>NQN 3101</t>
  </si>
  <si>
    <t>Columna2</t>
  </si>
  <si>
    <t>Columna3</t>
  </si>
  <si>
    <t>Columna4</t>
  </si>
  <si>
    <t>BURGUEÑO LUCAS</t>
  </si>
  <si>
    <t>CASTRO</t>
  </si>
  <si>
    <t xml:space="preserve">CONSIGLI ROBERTO CARLOS      </t>
  </si>
  <si>
    <t>DEGREEF</t>
  </si>
  <si>
    <t>ESPINOSA</t>
  </si>
  <si>
    <t>GARCIA</t>
  </si>
  <si>
    <t xml:space="preserve">GIOJA MARIO ERNESTO                      </t>
  </si>
  <si>
    <t>GOGORZA NICOLAS</t>
  </si>
  <si>
    <t>GRANDE NADIA</t>
  </si>
  <si>
    <t xml:space="preserve">GUDIÑO GABRIELA                               </t>
  </si>
  <si>
    <t>HARRIAGUE LUCIA</t>
  </si>
  <si>
    <t>MACIAS</t>
  </si>
  <si>
    <t>MELO MAURO</t>
  </si>
  <si>
    <t>QUIROGA MARTIN</t>
  </si>
  <si>
    <t>SAN MARTIN</t>
  </si>
  <si>
    <t>SALVAREZZA</t>
  </si>
  <si>
    <t>SCHVARTZMAN MATIAS</t>
  </si>
  <si>
    <t>SERRANO GAMARRA JUAN</t>
  </si>
  <si>
    <t>TOTIS</t>
  </si>
  <si>
    <t>VELA</t>
  </si>
  <si>
    <t>TOTALES</t>
  </si>
  <si>
    <t>ADV 0202</t>
  </si>
  <si>
    <t>ADV 0902</t>
  </si>
  <si>
    <t>ADV 1602</t>
  </si>
  <si>
    <t>ADV 2302</t>
  </si>
  <si>
    <t>ADV 2802</t>
  </si>
  <si>
    <t>ADV0103</t>
  </si>
  <si>
    <t>NQN 0502</t>
  </si>
  <si>
    <t>NQN 1602</t>
  </si>
  <si>
    <t>NQN 2602</t>
  </si>
  <si>
    <t>NQN 2902</t>
  </si>
  <si>
    <t>$ -</t>
  </si>
  <si>
    <t>ADV 0803</t>
  </si>
  <si>
    <t>ADV 1503</t>
  </si>
  <si>
    <t>ADV 2203</t>
  </si>
  <si>
    <t>ADV 2803</t>
  </si>
  <si>
    <t>NQN 0503</t>
  </si>
  <si>
    <t>NQN 1503</t>
  </si>
  <si>
    <t>NQN 2603</t>
  </si>
  <si>
    <t>NQN 2703</t>
  </si>
  <si>
    <t>ADV 0604</t>
  </si>
  <si>
    <t>ADV 1104</t>
  </si>
  <si>
    <t>ADV 1204</t>
  </si>
  <si>
    <t>ADV 1904</t>
  </si>
  <si>
    <t>ADV 2604</t>
  </si>
  <si>
    <t>NQN 0504</t>
  </si>
  <si>
    <t>NQN 1504</t>
  </si>
  <si>
    <t>NQN 2604</t>
  </si>
  <si>
    <t>NQN 3004</t>
  </si>
  <si>
    <t>ADV 0105</t>
  </si>
  <si>
    <t>ADV 0705</t>
  </si>
  <si>
    <t>ADV 0905</t>
  </si>
  <si>
    <t>ADV 1605</t>
  </si>
  <si>
    <t>ADV 2305</t>
  </si>
  <si>
    <t>ADV 3105</t>
  </si>
  <si>
    <t>NQN 0505</t>
  </si>
  <si>
    <t>NQN 1505</t>
  </si>
  <si>
    <t>NQN 2405</t>
  </si>
  <si>
    <t>NQN 3105</t>
  </si>
  <si>
    <t>ADV 0706</t>
  </si>
  <si>
    <t>ADV 1406</t>
  </si>
  <si>
    <t>ADV 2106</t>
  </si>
  <si>
    <t>ADV 2806</t>
  </si>
  <si>
    <t>ADV 3006</t>
  </si>
  <si>
    <t>NQN 0506</t>
  </si>
  <si>
    <t>NQN 1406</t>
  </si>
  <si>
    <t>NQN 2106</t>
  </si>
  <si>
    <t>NQN 2806</t>
  </si>
  <si>
    <t>NQN 3006</t>
  </si>
  <si>
    <t>ADV 0507</t>
  </si>
  <si>
    <t>ADV 1207</t>
  </si>
  <si>
    <t>ADV 1907</t>
  </si>
  <si>
    <t>ADV 2607</t>
  </si>
  <si>
    <t>NQN 0507</t>
  </si>
  <si>
    <t>NQN 1507</t>
  </si>
  <si>
    <t>NQN 2607</t>
  </si>
  <si>
    <t>NQN 3107</t>
  </si>
  <si>
    <t xml:space="preserve"> </t>
  </si>
  <si>
    <t>ADV 0901</t>
  </si>
  <si>
    <t>ADV 2001</t>
  </si>
  <si>
    <t>ADV 2701</t>
  </si>
  <si>
    <t>ADV</t>
  </si>
  <si>
    <t>ADV2</t>
  </si>
  <si>
    <t>NQN 1301</t>
  </si>
  <si>
    <t>NQN 2301</t>
  </si>
  <si>
    <t>NQN 2701</t>
  </si>
  <si>
    <t>NQN</t>
  </si>
  <si>
    <t>ADV 0208</t>
  </si>
  <si>
    <t>ADV 0908</t>
  </si>
  <si>
    <t>ADV 1608</t>
  </si>
  <si>
    <t>ADV 1508A</t>
  </si>
  <si>
    <t>ADV 2308</t>
  </si>
  <si>
    <t>ADV 3008</t>
  </si>
  <si>
    <t>NQN 0508</t>
  </si>
  <si>
    <t>NQN 1508</t>
  </si>
  <si>
    <t>NQN 2708</t>
  </si>
  <si>
    <t>NQN 3008</t>
  </si>
  <si>
    <t>ADV 1702</t>
  </si>
  <si>
    <t>ADV 2402</t>
  </si>
  <si>
    <t>NQN 1502</t>
  </si>
  <si>
    <t>NQN 2402</t>
  </si>
  <si>
    <t>NQN 2802</t>
  </si>
  <si>
    <t>NQN 4</t>
  </si>
  <si>
    <t>NQN 5</t>
  </si>
  <si>
    <t>ADV 0509</t>
  </si>
  <si>
    <t>ADV 1209</t>
  </si>
  <si>
    <t>ADV 1309</t>
  </si>
  <si>
    <t>ADV 27/09</t>
  </si>
  <si>
    <t>ADV 26/09</t>
  </si>
  <si>
    <t>ADV 0303</t>
  </si>
  <si>
    <t>NQN 0509</t>
  </si>
  <si>
    <t>ADV 1003</t>
  </si>
  <si>
    <t>NQN 1609</t>
  </si>
  <si>
    <t>RN 1003</t>
  </si>
  <si>
    <t>ADV 1703</t>
  </si>
  <si>
    <t>NQN 2709</t>
  </si>
  <si>
    <t>ADV 2403</t>
  </si>
  <si>
    <t>NQN 3010</t>
  </si>
  <si>
    <t>ADV 3103</t>
  </si>
  <si>
    <t>RN 0701</t>
  </si>
  <si>
    <t>RN 1401</t>
  </si>
  <si>
    <t>RN 2001</t>
  </si>
  <si>
    <t>RN 2801</t>
  </si>
  <si>
    <t>INGRESO</t>
  </si>
  <si>
    <t>MATIAS</t>
  </si>
  <si>
    <t>LUCAS</t>
  </si>
  <si>
    <t>JP</t>
  </si>
  <si>
    <t>ENERO</t>
  </si>
  <si>
    <t>FEBRERO</t>
  </si>
  <si>
    <t>MARZO</t>
  </si>
  <si>
    <t>ABRIL</t>
  </si>
  <si>
    <t>MAYO</t>
  </si>
  <si>
    <t>ADV 0704</t>
  </si>
  <si>
    <t>RN 1204</t>
  </si>
  <si>
    <t>ADV 2004</t>
  </si>
  <si>
    <t>JUNIO</t>
  </si>
  <si>
    <t>ADV 2804</t>
  </si>
  <si>
    <t>Columna1</t>
  </si>
  <si>
    <t>NQN 1404</t>
  </si>
  <si>
    <t>NQN 2804</t>
  </si>
  <si>
    <t>JULIO</t>
  </si>
  <si>
    <t>AGOSTO</t>
  </si>
  <si>
    <t>SEPTIEMBRE</t>
  </si>
  <si>
    <t>OCTUBRE</t>
  </si>
  <si>
    <t>RN 0402</t>
  </si>
  <si>
    <t>RN 1102</t>
  </si>
  <si>
    <t>RN 2502</t>
  </si>
  <si>
    <t>NQN 2502</t>
  </si>
  <si>
    <t>AV 2502</t>
  </si>
  <si>
    <t>ADV 0310</t>
  </si>
  <si>
    <t>ADV 1010</t>
  </si>
  <si>
    <t>ADV 1710</t>
  </si>
  <si>
    <t>ADV 1810</t>
  </si>
  <si>
    <t>ADV 24/10</t>
  </si>
  <si>
    <t>NQN 0510</t>
  </si>
  <si>
    <t>NQN 1510</t>
  </si>
  <si>
    <t>NQN 2810</t>
  </si>
  <si>
    <t>RN 1103</t>
  </si>
  <si>
    <t>RN 1803</t>
  </si>
  <si>
    <t>ADV 1103</t>
  </si>
  <si>
    <t>ADV 1803</t>
  </si>
  <si>
    <t>ADV 2503</t>
  </si>
  <si>
    <t>RN 2503</t>
  </si>
  <si>
    <t>NQN 1603</t>
  </si>
  <si>
    <t>NQN 3103</t>
  </si>
  <si>
    <t>Transferencia sociedad</t>
  </si>
  <si>
    <t>ADV 0505</t>
  </si>
  <si>
    <t>ADV 1205</t>
  </si>
  <si>
    <t>ADV 1805</t>
  </si>
  <si>
    <t>ADV 3005</t>
  </si>
  <si>
    <t>NQN 3005</t>
  </si>
  <si>
    <t>RN 0104</t>
  </si>
  <si>
    <t>ADV 0104</t>
  </si>
  <si>
    <t>RN 1304</t>
  </si>
  <si>
    <t>ADV1304</t>
  </si>
  <si>
    <t>NQN1304</t>
  </si>
  <si>
    <t>ADV 2204</t>
  </si>
  <si>
    <t>RN 2204</t>
  </si>
  <si>
    <t>NQN 2904</t>
  </si>
  <si>
    <t>RN 2904</t>
  </si>
  <si>
    <t>ADV 2904</t>
  </si>
  <si>
    <t>ADV 0111</t>
  </si>
  <si>
    <t>ADV0811</t>
  </si>
  <si>
    <t>ADV 1411</t>
  </si>
  <si>
    <t>ADV 1511</t>
  </si>
  <si>
    <t>ADV 21/11</t>
  </si>
  <si>
    <t>ADV 28/11</t>
  </si>
  <si>
    <t>NQN 0511</t>
  </si>
  <si>
    <t>NQN 1511</t>
  </si>
  <si>
    <t>NQN 2811</t>
  </si>
  <si>
    <t>NQN 3011</t>
  </si>
  <si>
    <t>RN 0605</t>
  </si>
  <si>
    <t>ADV 0605</t>
  </si>
  <si>
    <t>RN 1305</t>
  </si>
  <si>
    <t>ADV 1305</t>
  </si>
  <si>
    <t>NQN 1305</t>
  </si>
  <si>
    <t>RN 2005</t>
  </si>
  <si>
    <t>ADV 2005</t>
  </si>
  <si>
    <t>RN 2705</t>
  </si>
  <si>
    <t>ADV 2705</t>
  </si>
  <si>
    <t>ADV 0206</t>
  </si>
  <si>
    <t>NQN 2705</t>
  </si>
  <si>
    <t>ADV 0906</t>
  </si>
  <si>
    <t>ADV 1606</t>
  </si>
  <si>
    <t>ADV 2306</t>
  </si>
  <si>
    <t>NQN 05/06</t>
  </si>
  <si>
    <t>NQN 15/06</t>
  </si>
  <si>
    <t>RN 0306</t>
  </si>
  <si>
    <t>ADV 0306</t>
  </si>
  <si>
    <t>RN 1006</t>
  </si>
  <si>
    <t>ADV 1006</t>
  </si>
  <si>
    <t>NQN 1506</t>
  </si>
  <si>
    <t>RN 1606</t>
  </si>
  <si>
    <t>NQN 1606</t>
  </si>
  <si>
    <t>RN 2406</t>
  </si>
  <si>
    <t>ADV 2406</t>
  </si>
  <si>
    <t>NQN 2906</t>
  </si>
  <si>
    <t>ADV 0612</t>
  </si>
  <si>
    <t>ADV 1312</t>
  </si>
  <si>
    <t>ADV 1612</t>
  </si>
  <si>
    <t>ADV 2012</t>
  </si>
  <si>
    <t>ADV 0707</t>
  </si>
  <si>
    <t>ADV 2612</t>
  </si>
  <si>
    <t>ADV 1407</t>
  </si>
  <si>
    <t>ADV 2107</t>
  </si>
  <si>
    <t>ADV 3012</t>
  </si>
  <si>
    <t>ADV 2807</t>
  </si>
  <si>
    <t>NQN 0512</t>
  </si>
  <si>
    <t>ADV 0109</t>
  </si>
  <si>
    <t>NQN 05/07</t>
  </si>
  <si>
    <t>NQN 15/07</t>
  </si>
  <si>
    <t>NQN 1612</t>
  </si>
  <si>
    <t>NQN 2507</t>
  </si>
  <si>
    <t>NQN 2612</t>
  </si>
  <si>
    <t>NQN 2807</t>
  </si>
  <si>
    <t>NQN 2712</t>
  </si>
  <si>
    <t>RN 0807</t>
  </si>
  <si>
    <t>ADV 0807</t>
  </si>
  <si>
    <t>RN 1507</t>
  </si>
  <si>
    <t>ADV 1507</t>
  </si>
  <si>
    <t>RN 2207</t>
  </si>
  <si>
    <t>ADV 2207</t>
  </si>
  <si>
    <t>RN 2907</t>
  </si>
  <si>
    <t>ADV 2907</t>
  </si>
  <si>
    <t>NQN 2707</t>
  </si>
  <si>
    <t>NQN 2907</t>
  </si>
  <si>
    <t>ADV 0508</t>
  </si>
  <si>
    <t>ADV 0808</t>
  </si>
  <si>
    <t>RN 1208</t>
  </si>
  <si>
    <t>ADV 1208</t>
  </si>
  <si>
    <t>NQN 1608</t>
  </si>
  <si>
    <t>ADV 1908</t>
  </si>
  <si>
    <t>ADV 2608</t>
  </si>
  <si>
    <t>NQN 2908</t>
  </si>
  <si>
    <t>NQN 3108</t>
  </si>
  <si>
    <t>ADV 0408</t>
  </si>
  <si>
    <t>ADV 1108</t>
  </si>
  <si>
    <t>ADV 1808</t>
  </si>
  <si>
    <t>ADV 2508</t>
  </si>
  <si>
    <t>ADV 3108</t>
  </si>
  <si>
    <t>ADV 2408 AGUIN</t>
  </si>
  <si>
    <t>NQN 05/08</t>
  </si>
  <si>
    <t>ADV 0809</t>
  </si>
  <si>
    <t>NQN 15/08</t>
  </si>
  <si>
    <t>NQN 1509</t>
  </si>
  <si>
    <t>ADV 1509</t>
  </si>
  <si>
    <t>NQN 2808</t>
  </si>
  <si>
    <t>ADV 2209</t>
  </si>
  <si>
    <t>ADV 2909</t>
  </si>
  <si>
    <t>NQN 2909</t>
  </si>
  <si>
    <t>ADV 3009</t>
  </si>
  <si>
    <t>RN 3009</t>
  </si>
  <si>
    <t>ADV 0710</t>
  </si>
  <si>
    <t>NQN 1410</t>
  </si>
  <si>
    <t>ADV 1410</t>
  </si>
  <si>
    <t>ADV 2110</t>
  </si>
  <si>
    <t>RN 2710</t>
  </si>
  <si>
    <t>ADV 2710</t>
  </si>
  <si>
    <t>NQN 3110</t>
  </si>
  <si>
    <t>RN 0301</t>
  </si>
  <si>
    <t>NQN 0301</t>
  </si>
  <si>
    <t>RN 1001</t>
  </si>
  <si>
    <t>NQN 1001</t>
  </si>
  <si>
    <t>RN 1701</t>
  </si>
  <si>
    <t>NQN 1701</t>
  </si>
  <si>
    <t>RN 2401</t>
  </si>
  <si>
    <t>NQN 2401</t>
  </si>
  <si>
    <t>RN 3101</t>
  </si>
  <si>
    <t>ADV 0311</t>
  </si>
  <si>
    <t>NQN 0211</t>
  </si>
  <si>
    <t>ADV 1111</t>
  </si>
  <si>
    <t>ADV 1711</t>
  </si>
  <si>
    <t>ADV 2511</t>
  </si>
  <si>
    <t>Consigli</t>
  </si>
  <si>
    <t>ADV 0212</t>
  </si>
  <si>
    <t>Etulain</t>
  </si>
  <si>
    <t>García</t>
  </si>
  <si>
    <t>Gioja</t>
  </si>
  <si>
    <t>ADV 2109</t>
  </si>
  <si>
    <t>NQN 05/09</t>
  </si>
  <si>
    <t>NQN 15/09</t>
  </si>
  <si>
    <t>Gogorza</t>
  </si>
  <si>
    <t>Grande</t>
  </si>
  <si>
    <t>Gudiño</t>
  </si>
  <si>
    <t>Harriague</t>
  </si>
  <si>
    <t>Melo</t>
  </si>
  <si>
    <t>Quiroga</t>
  </si>
  <si>
    <t>Serrano</t>
  </si>
  <si>
    <t>Materiales</t>
  </si>
  <si>
    <t>RN 0702</t>
  </si>
  <si>
    <t>NQN 0702</t>
  </si>
  <si>
    <t>RN 1402</t>
  </si>
  <si>
    <t>NQN 1402</t>
  </si>
  <si>
    <t>RN 2102</t>
  </si>
  <si>
    <t>NQN 2102</t>
  </si>
  <si>
    <t>ADV 2312</t>
  </si>
  <si>
    <t>ADV 2912</t>
  </si>
  <si>
    <t>NQN 2812</t>
  </si>
  <si>
    <t>NQN 3012</t>
  </si>
  <si>
    <t>RN 0603</t>
  </si>
  <si>
    <t>NQN 0603</t>
  </si>
  <si>
    <t>RN 1303</t>
  </si>
  <si>
    <t>NQN 1303</t>
  </si>
  <si>
    <t>RN 2003</t>
  </si>
  <si>
    <t>NQN 2003</t>
  </si>
  <si>
    <t>RN 2703</t>
  </si>
  <si>
    <t>RN 0804</t>
  </si>
  <si>
    <t>NQN 0804</t>
  </si>
  <si>
    <t>RN 1704</t>
  </si>
  <si>
    <t>RN 2404</t>
  </si>
  <si>
    <t>RN 3004</t>
  </si>
  <si>
    <t>MES</t>
  </si>
  <si>
    <t>NEUQUÉN</t>
  </si>
  <si>
    <t>RN</t>
  </si>
  <si>
    <t>RN 0805</t>
  </si>
  <si>
    <t>RN 1505</t>
  </si>
  <si>
    <t>RN 2205</t>
  </si>
  <si>
    <t>RN 2905</t>
  </si>
  <si>
    <t>NQN 2905</t>
  </si>
  <si>
    <t>ADV 0610</t>
  </si>
  <si>
    <t>ADV 1210</t>
  </si>
  <si>
    <t>ADV 2010</t>
  </si>
  <si>
    <t>NQN 1210</t>
  </si>
  <si>
    <t>NQN 2710</t>
  </si>
  <si>
    <t>NQN 2910</t>
  </si>
  <si>
    <t>TOTAL ANUAL</t>
  </si>
  <si>
    <t>RN 0506</t>
  </si>
  <si>
    <t>RN 1206</t>
  </si>
  <si>
    <t>RN 1906</t>
  </si>
  <si>
    <t>NQN 2406</t>
  </si>
  <si>
    <t>RN 2606</t>
  </si>
  <si>
    <t>RN 0307</t>
  </si>
  <si>
    <t>NQN 0307</t>
  </si>
  <si>
    <t>RN 1706</t>
  </si>
  <si>
    <t>NQN 1707</t>
  </si>
  <si>
    <t>NQN 1807</t>
  </si>
  <si>
    <t>RN 2407</t>
  </si>
  <si>
    <t>RN 3107</t>
  </si>
  <si>
    <t>NQN 2901</t>
  </si>
  <si>
    <t>RN 3001</t>
  </si>
  <si>
    <t>Promedio ingresos</t>
  </si>
  <si>
    <t>Porcentajes</t>
  </si>
  <si>
    <t>Promedio en porcentajes 3 ultimos meses 1 full mas (con el ingreso de los dos como full)</t>
  </si>
  <si>
    <t>Promedio en porcentajes 3 ultimos meses todos como full</t>
  </si>
  <si>
    <t>RN 0708</t>
  </si>
  <si>
    <t>NQN 0708</t>
  </si>
  <si>
    <t>RN 1408</t>
  </si>
  <si>
    <t>RN 2108</t>
  </si>
  <si>
    <t>RN 2808</t>
  </si>
  <si>
    <t>Alan</t>
  </si>
  <si>
    <t>ADV 1011</t>
  </si>
  <si>
    <t>ADV 2411</t>
  </si>
  <si>
    <t>NQN 2711</t>
  </si>
  <si>
    <t>NQN 0209</t>
  </si>
  <si>
    <t>RN 0409</t>
  </si>
  <si>
    <t>RN 1109</t>
  </si>
  <si>
    <t>NQN 1409</t>
  </si>
  <si>
    <t>RN 1809</t>
  </si>
  <si>
    <t>RN 2509</t>
  </si>
  <si>
    <t>NQN 2309</t>
  </si>
  <si>
    <t>Moscuzza</t>
  </si>
  <si>
    <t>Garcia</t>
  </si>
  <si>
    <t>Ezequiel</t>
  </si>
  <si>
    <t>NQN 0910</t>
  </si>
  <si>
    <t>RN 0910</t>
  </si>
  <si>
    <t>NQN 1610</t>
  </si>
  <si>
    <t>RN1610</t>
  </si>
  <si>
    <t>RN 2310</t>
  </si>
  <si>
    <t>RN 3010</t>
  </si>
  <si>
    <t>RN 2602</t>
  </si>
  <si>
    <t>RN 0802</t>
  </si>
  <si>
    <t>Justi</t>
  </si>
  <si>
    <t>Lean</t>
  </si>
  <si>
    <t>RN 0611</t>
  </si>
  <si>
    <t>NQN 1311</t>
  </si>
  <si>
    <t>RN 1311</t>
  </si>
  <si>
    <t>RN 2011</t>
  </si>
  <si>
    <t>RN 2711</t>
  </si>
  <si>
    <t>NQN 2611</t>
  </si>
  <si>
    <t>RN 0412</t>
  </si>
  <si>
    <t>RN 1112</t>
  </si>
  <si>
    <t>RN 1812</t>
  </si>
  <si>
    <t>NQN 2903</t>
  </si>
  <si>
    <t>RN 3012</t>
  </si>
  <si>
    <t>RN 2903</t>
  </si>
  <si>
    <t>RN 1503</t>
  </si>
  <si>
    <t>ADV 2911</t>
  </si>
  <si>
    <t>ADV 0112</t>
  </si>
  <si>
    <t>ADV 0812</t>
  </si>
  <si>
    <t>ADV 1512</t>
  </si>
  <si>
    <t>ADV 2712</t>
  </si>
  <si>
    <t>NQN 1512</t>
  </si>
  <si>
    <t>NQN 0205</t>
  </si>
  <si>
    <t>NQN 1804</t>
  </si>
  <si>
    <t>RN 2604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</si>
  <si>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</si>
  <si>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</si>
  <si>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</si>
  <si>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</si>
  <si>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</si>
  <si>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</si>
  <si>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</si>
  <si>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</si>
  <si>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</si>
  <si>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</si>
  <si>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</si>
  <si>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</si>
  <si>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Promedio anual</t>
  </si>
  <si>
    <t>Porcentaje</t>
  </si>
  <si>
    <t>Ingresos RN</t>
  </si>
  <si>
    <t>NQN 2105</t>
  </si>
  <si>
    <t>RN 3105</t>
  </si>
  <si>
    <t>RN 1705</t>
  </si>
  <si>
    <t>Ingresos NQN</t>
  </si>
  <si>
    <t>Ingresos Totales</t>
  </si>
  <si>
    <t>Promedio Anual</t>
  </si>
  <si>
    <t>RN 2706</t>
  </si>
  <si>
    <t>RN 1406</t>
  </si>
  <si>
    <t>Total</t>
  </si>
  <si>
    <t>CONSIGLI ROBERTO CARLOS</t>
  </si>
  <si>
    <t>GIOJA MARIO ERNESTO</t>
  </si>
  <si>
    <t>GUDIÑO GABRIELA</t>
  </si>
  <si>
    <t>MOSCUZZA</t>
  </si>
  <si>
    <t>ETULAIN JUSTINA</t>
  </si>
  <si>
    <t>NQN 1907</t>
  </si>
  <si>
    <t>RN 2607</t>
  </si>
  <si>
    <t>RN 1907</t>
  </si>
  <si>
    <t>Schwartzmann</t>
  </si>
  <si>
    <t>Castro</t>
  </si>
  <si>
    <t>Epherra</t>
  </si>
  <si>
    <t>NQN 2</t>
  </si>
  <si>
    <t>NQN 1</t>
  </si>
  <si>
    <t>RN 2</t>
  </si>
  <si>
    <t>RN 1</t>
  </si>
  <si>
    <t>$3,114,476.04</t>
  </si>
  <si>
    <t>TOTAL</t>
  </si>
  <si>
    <t>CONSIGLI ROBERTO</t>
  </si>
  <si>
    <t>373,137.11</t>
  </si>
  <si>
    <t>$503,000.79</t>
  </si>
  <si>
    <t>GIOJA MARIO ERNESTO                     </t>
  </si>
  <si>
    <t>216,391.59</t>
  </si>
  <si>
    <t>GUDIÑO GABRIELA                              </t>
  </si>
  <si>
    <t>$501,737.29</t>
  </si>
  <si>
    <t>CASTRO MARIA FERNANDA</t>
  </si>
  <si>
    <t>1,812.20</t>
  </si>
  <si>
    <t>NQN 2009</t>
  </si>
  <si>
    <t>NQN 1309</t>
  </si>
  <si>
    <t>RN 2709</t>
  </si>
  <si>
    <t>RN 2009</t>
  </si>
  <si>
    <t>RN 1309</t>
  </si>
  <si>
    <t>EPHERRA</t>
  </si>
  <si>
    <t>SCHVARZTMAN</t>
  </si>
  <si>
    <t>MATERIALES</t>
  </si>
  <si>
    <t>$321,370.21</t>
  </si>
  <si>
    <t>$4,384,771.66</t>
  </si>
  <si>
    <t>CONSIGLI ROBERTO CARLOS     </t>
  </si>
  <si>
    <t>Nominal</t>
  </si>
  <si>
    <t>Porcentual</t>
  </si>
  <si>
    <t>Cotización U$S</t>
  </si>
  <si>
    <t>NQN 2510</t>
  </si>
  <si>
    <t>NQN 1810</t>
  </si>
  <si>
    <t>NQN 1110</t>
  </si>
  <si>
    <t>NQN 0410</t>
  </si>
  <si>
    <t>RN 2510</t>
  </si>
  <si>
    <t>RN 1810</t>
  </si>
  <si>
    <t>RN 1110</t>
  </si>
  <si>
    <t>RN 0410</t>
  </si>
  <si>
    <t>MATIAS SWCH</t>
  </si>
  <si>
    <t>EPHERRA JUAN</t>
  </si>
  <si>
    <t>Nqn</t>
  </si>
  <si>
    <t>NQN 0111</t>
  </si>
  <si>
    <t>NQN 0811</t>
  </si>
  <si>
    <t>NQN 2211</t>
  </si>
  <si>
    <t>NQN 2911</t>
  </si>
  <si>
    <t>RN 0111</t>
  </si>
  <si>
    <t>RN 0811</t>
  </si>
  <si>
    <t>RN 1511</t>
  </si>
  <si>
    <t>RN 2211</t>
  </si>
  <si>
    <t>RN 2911</t>
  </si>
  <si>
    <t>RN 0612</t>
  </si>
  <si>
    <t>NQN 0612</t>
  </si>
  <si>
    <t>RN 1312</t>
  </si>
  <si>
    <t>NQN 1312</t>
  </si>
  <si>
    <t>RN 2012</t>
  </si>
  <si>
    <t>RN 2712</t>
  </si>
  <si>
    <t>Mauro</t>
  </si>
  <si>
    <t>PROMEDIO 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</si>
</sst>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"/>
    <numFmt numFmtId="165" formatCode="d/m"/>
    <numFmt numFmtId="166" formatCode="&quot;$&quot;#,##0"/>
    <numFmt numFmtId="167" formatCode="dd/mm/yyyy"/>
    <numFmt numFmtId="168" formatCode="_-&quot;$&quot;\ * #,##0.00_-;\-&quot;$&quot;\ * #,##0.00_-;_-&quot;$&quot;\ * &quot;-&quot;??_-;_-@"/>
    <numFmt numFmtId="169" formatCode="&quot;$&quot;#,##0.00"/>
  </numFmts>
  <fonts count="18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0"/>
      <name val="Calibri"/>
    </font>
    <font>
      <sz val="11.0"/>
      <color rgb="FF000000"/>
      <name val="Calibri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b/>
      <sz val="11.0"/>
      <color rgb="FFFFFFFF"/>
      <name val="Calibri"/>
    </font>
    <font>
      <color rgb="FF000000"/>
      <name val="Arial"/>
    </font>
    <font>
      <b/>
      <color rgb="FF000000"/>
      <name val="Arial"/>
    </font>
    <font>
      <sz val="13.0"/>
      <color rgb="FF171A1F"/>
      <name val="Arial"/>
    </font>
    <font>
      <b/>
      <sz val="9.0"/>
      <color rgb="FF171A1F"/>
      <name val="Arial"/>
    </font>
    <font>
      <color theme="1"/>
      <name val="Arial"/>
    </font>
    <font>
      <sz val="12.0"/>
      <color rgb="FF222222"/>
      <name val="Arial"/>
    </font>
    <font>
      <sz val="11.0"/>
      <color theme="1"/>
      <name val="Inconsolata"/>
    </font>
    <font>
      <sz val="11.0"/>
      <color rgb="FFFFFFFF"/>
      <name val="Roboto"/>
    </font>
    <font>
      <b/>
      <sz val="12.0"/>
      <color rgb="FFF2F2F2"/>
      <name val="&quot;Work Sans&quot;"/>
    </font>
    <font>
      <sz val="11.0"/>
      <color rgb="FF121212"/>
      <name val="&quot;Work Sans&quot;"/>
    </font>
  </fonts>
  <fills count="12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192317"/>
        <bgColor rgb="FF192317"/>
      </patternFill>
    </fill>
    <fill>
      <patternFill patternType="solid">
        <fgColor rgb="FF006699"/>
        <bgColor rgb="FF006699"/>
      </patternFill>
    </fill>
    <fill>
      <patternFill patternType="solid">
        <fgColor rgb="FF171E23"/>
        <bgColor rgb="FF171E23"/>
      </patternFill>
    </fill>
    <fill>
      <patternFill patternType="solid">
        <fgColor rgb="FF171723"/>
        <bgColor rgb="FF171723"/>
      </patternFill>
    </fill>
    <fill>
      <patternFill patternType="solid">
        <fgColor rgb="FFC0C0C0"/>
        <bgColor rgb="FFC0C0C0"/>
      </patternFill>
    </fill>
  </fills>
  <borders count="24">
    <border/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CC2E5"/>
      </bottom>
    </border>
    <border>
      <left style="thin">
        <color rgb="FF000000"/>
      </left>
      <right style="thin">
        <color rgb="FF000000"/>
      </right>
      <top style="thin">
        <color rgb="FF9CC2E5"/>
      </top>
      <bottom style="thin">
        <color rgb="FF9CC2E5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2" fontId="2" numFmtId="0" xfId="0" applyBorder="1" applyFill="1" applyFont="1"/>
    <xf borderId="0" fillId="0" fontId="1" numFmtId="0" xfId="0" applyAlignment="1" applyFont="1">
      <alignment readingOrder="0"/>
    </xf>
    <xf borderId="0" fillId="0" fontId="1" numFmtId="0" xfId="0" applyFont="1"/>
    <xf borderId="2" fillId="2" fontId="2" numFmtId="0" xfId="0" applyBorder="1" applyFont="1"/>
    <xf borderId="0" fillId="0" fontId="1" numFmtId="166" xfId="0" applyAlignment="1" applyFont="1" applyNumberFormat="1">
      <alignment readingOrder="0"/>
    </xf>
    <xf borderId="3" fillId="0" fontId="3" numFmtId="166" xfId="0" applyAlignment="1" applyBorder="1" applyFont="1" applyNumberFormat="1">
      <alignment readingOrder="0" shrinkToFit="0" vertical="bottom" wrapText="0"/>
    </xf>
    <xf borderId="4" fillId="2" fontId="2" numFmtId="0" xfId="0" applyBorder="1" applyFont="1"/>
    <xf borderId="0" fillId="0" fontId="1" numFmtId="166" xfId="0" applyFont="1" applyNumberFormat="1"/>
    <xf borderId="5" fillId="2" fontId="2" numFmtId="0" xfId="0" applyBorder="1" applyFont="1"/>
    <xf borderId="0" fillId="0" fontId="1" numFmtId="10" xfId="0" applyFont="1" applyNumberFormat="1"/>
    <xf borderId="1" fillId="3" fontId="4" numFmtId="0" xfId="0" applyBorder="1" applyFill="1" applyFont="1"/>
    <xf borderId="6" fillId="0" fontId="3" numFmtId="166" xfId="0" applyAlignment="1" applyBorder="1" applyFont="1" applyNumberFormat="1">
      <alignment readingOrder="0" shrinkToFit="0" vertical="bottom" wrapText="0"/>
    </xf>
    <xf borderId="0" fillId="0" fontId="4" numFmtId="2" xfId="0" applyFont="1" applyNumberFormat="1"/>
    <xf borderId="2" fillId="3" fontId="4" numFmtId="10" xfId="0" applyBorder="1" applyFont="1" applyNumberFormat="1"/>
    <xf borderId="7" fillId="3" fontId="4" numFmtId="0" xfId="0" applyBorder="1" applyFont="1"/>
    <xf borderId="8" fillId="0" fontId="4" numFmtId="0" xfId="0" applyBorder="1" applyFont="1"/>
    <xf borderId="9" fillId="0" fontId="4" numFmtId="0" xfId="0" applyBorder="1" applyFont="1"/>
    <xf borderId="0" fillId="0" fontId="1" numFmtId="2" xfId="0" applyFont="1" applyNumberFormat="1"/>
    <xf borderId="0" fillId="0" fontId="1" numFmtId="0" xfId="0" applyFont="1"/>
    <xf borderId="0" fillId="0" fontId="4" numFmtId="9" xfId="0" applyFont="1" applyNumberFormat="1"/>
    <xf borderId="0" fillId="0" fontId="3" numFmtId="166" xfId="0" applyAlignment="1" applyFont="1" applyNumberFormat="1">
      <alignment readingOrder="0" shrinkToFit="0" vertical="bottom" wrapText="0"/>
    </xf>
    <xf borderId="0" fillId="0" fontId="1" numFmtId="167" xfId="0" applyAlignment="1" applyFont="1" applyNumberFormat="1">
      <alignment readingOrder="0"/>
    </xf>
    <xf borderId="0" fillId="0" fontId="4" numFmtId="168" xfId="0" applyFont="1" applyNumberFormat="1"/>
    <xf borderId="0" fillId="0" fontId="4" numFmtId="0" xfId="0" applyFont="1"/>
    <xf borderId="0" fillId="0" fontId="5" numFmtId="168" xfId="0" applyFont="1" applyNumberFormat="1"/>
    <xf borderId="0" fillId="0" fontId="4" numFmtId="168" xfId="0" applyAlignment="1" applyFont="1" applyNumberFormat="1">
      <alignment readingOrder="0"/>
    </xf>
    <xf borderId="0" fillId="0" fontId="6" numFmtId="168" xfId="0" applyAlignment="1" applyFont="1" applyNumberFormat="1">
      <alignment readingOrder="0"/>
    </xf>
    <xf borderId="2" fillId="2" fontId="7" numFmtId="0" xfId="0" applyAlignment="1" applyBorder="1" applyFont="1">
      <alignment readingOrder="0"/>
    </xf>
    <xf borderId="8" fillId="3" fontId="4" numFmtId="0" xfId="0" applyAlignment="1" applyBorder="1" applyFont="1">
      <alignment readingOrder="0"/>
    </xf>
    <xf borderId="9" fillId="3" fontId="4" numFmtId="0" xfId="0" applyBorder="1" applyFont="1"/>
    <xf borderId="0" fillId="0" fontId="3" numFmtId="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169" xfId="0" applyFont="1" applyNumberFormat="1"/>
    <xf borderId="8" fillId="0" fontId="4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Font="1"/>
    <xf borderId="10" fillId="0" fontId="4" numFmtId="0" xfId="0" applyBorder="1" applyFont="1"/>
    <xf borderId="0" fillId="0" fontId="1" numFmtId="0" xfId="0" applyFont="1"/>
    <xf borderId="0" fillId="0" fontId="4" numFmtId="2" xfId="0" applyFont="1" applyNumberFormat="1"/>
    <xf borderId="0" fillId="0" fontId="4" numFmtId="10" xfId="0" applyFont="1" applyNumberFormat="1"/>
    <xf borderId="11" fillId="0" fontId="8" numFmtId="168" xfId="0" applyAlignment="1" applyBorder="1" applyFont="1" applyNumberFormat="1">
      <alignment horizontal="right" readingOrder="0" vertical="bottom"/>
    </xf>
    <xf borderId="11" fillId="0" fontId="9" numFmtId="168" xfId="0" applyAlignment="1" applyBorder="1" applyFont="1" applyNumberFormat="1">
      <alignment horizontal="right" readingOrder="0" vertical="bottom"/>
    </xf>
    <xf borderId="11" fillId="0" fontId="8" numFmtId="0" xfId="0" applyAlignment="1" applyBorder="1" applyFont="1">
      <alignment horizontal="right" readingOrder="0" vertical="bottom"/>
    </xf>
    <xf borderId="12" fillId="0" fontId="8" numFmtId="168" xfId="0" applyAlignment="1" applyBorder="1" applyFont="1" applyNumberFormat="1">
      <alignment horizontal="right" readingOrder="0" vertical="bottom"/>
    </xf>
    <xf borderId="12" fillId="0" fontId="9" numFmtId="168" xfId="0" applyAlignment="1" applyBorder="1" applyFont="1" applyNumberFormat="1">
      <alignment horizontal="right" readingOrder="0" vertical="bottom"/>
    </xf>
    <xf borderId="8" fillId="3" fontId="4" numFmtId="0" xfId="0" applyBorder="1" applyFont="1"/>
    <xf borderId="3" fillId="0" fontId="3" numFmtId="168" xfId="0" applyAlignment="1" applyBorder="1" applyFont="1" applyNumberFormat="1">
      <alignment readingOrder="0" shrinkToFit="0" vertical="bottom" wrapText="0"/>
    </xf>
    <xf borderId="11" fillId="0" fontId="8" numFmtId="169" xfId="0" applyAlignment="1" applyBorder="1" applyFont="1" applyNumberFormat="1">
      <alignment horizontal="right" readingOrder="0" vertical="bottom"/>
    </xf>
    <xf borderId="6" fillId="0" fontId="3" numFmtId="168" xfId="0" applyAlignment="1" applyBorder="1" applyFont="1" applyNumberFormat="1">
      <alignment readingOrder="0" shrinkToFit="0" vertical="bottom" wrapText="0"/>
    </xf>
    <xf borderId="13" fillId="4" fontId="4" numFmtId="10" xfId="0" applyBorder="1" applyFill="1" applyFont="1" applyNumberFormat="1"/>
    <xf borderId="2" fillId="3" fontId="4" numFmtId="10" xfId="0" applyAlignment="1" applyBorder="1" applyFont="1" applyNumberFormat="1">
      <alignment readingOrder="0"/>
    </xf>
    <xf borderId="6" fillId="0" fontId="3" numFmtId="0" xfId="0" applyAlignment="1" applyBorder="1" applyFont="1">
      <alignment readingOrder="0" shrinkToFit="0" vertical="bottom" wrapText="0"/>
    </xf>
    <xf borderId="0" fillId="0" fontId="1" numFmtId="168" xfId="0" applyFont="1" applyNumberFormat="1"/>
    <xf borderId="3" fillId="0" fontId="3" numFmtId="169" xfId="0" applyAlignment="1" applyBorder="1" applyFont="1" applyNumberFormat="1">
      <alignment readingOrder="0" shrinkToFit="0" vertical="bottom" wrapText="0"/>
    </xf>
    <xf borderId="14" fillId="0" fontId="4" numFmtId="0" xfId="0" applyBorder="1" applyFont="1"/>
    <xf borderId="0" fillId="0" fontId="4" numFmtId="10" xfId="0" applyFont="1" applyNumberFormat="1"/>
    <xf borderId="10" fillId="0" fontId="4" numFmtId="0" xfId="0" applyBorder="1" applyFont="1"/>
    <xf borderId="0" fillId="0" fontId="4" numFmtId="169" xfId="0" applyFont="1" applyNumberFormat="1"/>
    <xf borderId="13" fillId="5" fontId="4" numFmtId="10" xfId="0" applyBorder="1" applyFill="1" applyFont="1" applyNumberFormat="1"/>
    <xf borderId="13" fillId="5" fontId="4" numFmtId="0" xfId="0" applyBorder="1" applyFont="1"/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0" xfId="0" applyAlignment="1" applyFont="1" applyNumberFormat="1">
      <alignment horizontal="right"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3" numFmtId="169" xfId="0" applyAlignment="1" applyFont="1" applyNumberFormat="1">
      <alignment horizontal="right" readingOrder="0" shrinkToFit="0" vertical="bottom" wrapText="0"/>
    </xf>
    <xf borderId="6" fillId="0" fontId="8" numFmtId="0" xfId="0" applyAlignment="1" applyBorder="1" applyFont="1">
      <alignment horizontal="right" readingOrder="0" vertical="bottom"/>
    </xf>
    <xf borderId="0" fillId="0" fontId="3" numFmtId="169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7" fillId="5" fontId="4" numFmtId="0" xfId="0" applyBorder="1" applyFont="1"/>
    <xf borderId="15" fillId="0" fontId="3" numFmtId="0" xfId="0" applyAlignment="1" applyBorder="1" applyFont="1">
      <alignment horizontal="left" readingOrder="0" shrinkToFit="0" vertical="bottom" wrapText="0"/>
    </xf>
    <xf borderId="3" fillId="0" fontId="3" numFmtId="0" xfId="0" applyAlignment="1" applyBorder="1" applyFont="1">
      <alignment horizontal="left" readingOrder="0" shrinkToFit="0" vertical="bottom" wrapText="0"/>
    </xf>
    <xf borderId="16" fillId="0" fontId="3" numFmtId="0" xfId="0" applyAlignment="1" applyBorder="1" applyFont="1">
      <alignment horizontal="left" readingOrder="0" shrinkToFit="0" vertical="bottom" wrapText="0"/>
    </xf>
    <xf borderId="6" fillId="0" fontId="3" numFmtId="0" xfId="0" applyAlignment="1" applyBorder="1" applyFont="1">
      <alignment horizontal="left"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69" xfId="0" applyFont="1" applyNumberFormat="1"/>
    <xf borderId="17" fillId="0" fontId="3" numFmtId="0" xfId="0" applyAlignment="1" applyBorder="1" applyFont="1">
      <alignment horizontal="left" readingOrder="0" shrinkToFit="0" vertical="bottom" wrapText="0"/>
    </xf>
    <xf borderId="0" fillId="0" fontId="3" numFmtId="9" xfId="0" applyAlignment="1" applyFont="1" applyNumberFormat="1">
      <alignment horizontal="right" readingOrder="0" shrinkToFit="0" vertical="bottom" wrapText="0"/>
    </xf>
    <xf borderId="14" fillId="0" fontId="3" numFmtId="0" xfId="0" applyAlignment="1" applyBorder="1" applyFont="1">
      <alignment horizontal="lef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169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12" numFmtId="0" xfId="0" applyAlignment="1" applyFont="1">
      <alignment vertical="bottom"/>
    </xf>
    <xf borderId="0" fillId="0" fontId="12" numFmtId="4" xfId="0" applyAlignment="1" applyFont="1" applyNumberFormat="1">
      <alignment horizontal="right" vertical="bottom"/>
    </xf>
    <xf borderId="0" fillId="0" fontId="13" numFmtId="4" xfId="0" applyAlignment="1" applyFont="1" applyNumberFormat="1">
      <alignment horizontal="right" vertical="bottom"/>
    </xf>
    <xf borderId="0" fillId="0" fontId="12" numFmtId="0" xfId="0" applyAlignment="1" applyFont="1">
      <alignment horizontal="right" vertical="bottom"/>
    </xf>
    <xf borderId="0" fillId="0" fontId="12" numFmtId="10" xfId="0" applyAlignment="1" applyFont="1" applyNumberFormat="1">
      <alignment horizontal="right" vertical="bottom"/>
    </xf>
    <xf borderId="0" fillId="0" fontId="1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2" numFmtId="4" xfId="0" applyAlignment="1" applyFont="1" applyNumberFormat="1">
      <alignment vertical="bottom"/>
    </xf>
    <xf borderId="0" fillId="0" fontId="12" numFmtId="10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69" xfId="0" applyAlignment="1" applyFont="1" applyNumberFormat="1">
      <alignment horizontal="right" vertical="bottom"/>
    </xf>
    <xf borderId="0" fillId="6" fontId="14" numFmtId="0" xfId="0" applyAlignment="1" applyFill="1" applyFont="1">
      <alignment horizontal="right" vertical="bottom"/>
    </xf>
    <xf borderId="0" fillId="0" fontId="4" numFmtId="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18" fillId="0" fontId="12" numFmtId="0" xfId="0" applyAlignment="1" applyBorder="1" applyFont="1">
      <alignment vertical="bottom"/>
    </xf>
    <xf borderId="19" fillId="6" fontId="13" numFmtId="0" xfId="0" applyAlignment="1" applyBorder="1" applyFont="1">
      <alignment vertical="bottom"/>
    </xf>
    <xf borderId="0" fillId="0" fontId="3" numFmtId="4" xfId="0" applyAlignment="1" applyFont="1" applyNumberFormat="1">
      <alignment horizontal="right" vertical="bottom"/>
    </xf>
    <xf borderId="0" fillId="0" fontId="3" numFmtId="1" xfId="0" applyAlignment="1" applyFont="1" applyNumberFormat="1">
      <alignment horizontal="right" vertical="bottom"/>
    </xf>
    <xf borderId="0" fillId="0" fontId="12" numFmtId="10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20" fillId="6" fontId="13" numFmtId="0" xfId="0" applyAlignment="1" applyBorder="1" applyFont="1">
      <alignment vertical="bottom"/>
    </xf>
    <xf borderId="0" fillId="5" fontId="3" numFmtId="0" xfId="0" applyAlignment="1" applyFont="1">
      <alignment horizontal="right" readingOrder="0" shrinkToFit="0" vertical="bottom" wrapText="0"/>
    </xf>
    <xf borderId="21" fillId="6" fontId="13" numFmtId="0" xfId="0" applyAlignment="1" applyBorder="1" applyFont="1">
      <alignment vertical="bottom"/>
    </xf>
    <xf borderId="0" fillId="0" fontId="12" numFmtId="9" xfId="0" applyAlignment="1" applyFont="1" applyNumberFormat="1">
      <alignment vertical="bottom"/>
    </xf>
    <xf borderId="0" fillId="0" fontId="4" numFmtId="0" xfId="0" applyAlignment="1" applyFont="1">
      <alignment horizontal="center"/>
    </xf>
    <xf borderId="0" fillId="0" fontId="4" numFmtId="2" xfId="0" applyAlignment="1" applyFont="1" applyNumberFormat="1">
      <alignment horizontal="center"/>
    </xf>
    <xf borderId="0" fillId="7" fontId="15" numFmtId="169" xfId="0" applyAlignment="1" applyFill="1" applyFont="1" applyNumberFormat="1">
      <alignment readingOrder="0"/>
    </xf>
    <xf borderId="0" fillId="0" fontId="4" numFmtId="169" xfId="0" applyAlignment="1" applyFont="1" applyNumberFormat="1">
      <alignment readingOrder="0"/>
    </xf>
    <xf borderId="0" fillId="5" fontId="4" numFmtId="0" xfId="0" applyAlignment="1" applyFont="1">
      <alignment horizontal="right" readingOrder="0" shrinkToFit="0" vertical="bottom" wrapText="0"/>
    </xf>
    <xf borderId="0" fillId="8" fontId="16" numFmtId="169" xfId="0" applyAlignment="1" applyFill="1" applyFont="1" applyNumberFormat="1">
      <alignment readingOrder="0"/>
    </xf>
    <xf borderId="0" fillId="6" fontId="17" numFmtId="169" xfId="0" applyAlignment="1" applyFont="1" applyNumberFormat="1">
      <alignment readingOrder="0"/>
    </xf>
    <xf borderId="0" fillId="9" fontId="15" numFmtId="169" xfId="0" applyAlignment="1" applyFill="1" applyFont="1" applyNumberFormat="1">
      <alignment readingOrder="0"/>
    </xf>
    <xf borderId="10" fillId="0" fontId="3" numFmtId="0" xfId="0" applyAlignment="1" applyBorder="1" applyFont="1">
      <alignment vertical="bottom"/>
    </xf>
    <xf borderId="22" fillId="4" fontId="3" numFmtId="0" xfId="0" applyAlignment="1" applyBorder="1" applyFont="1">
      <alignment vertical="bottom"/>
    </xf>
    <xf borderId="22" fillId="4" fontId="3" numFmtId="4" xfId="0" applyAlignment="1" applyBorder="1" applyFont="1" applyNumberFormat="1">
      <alignment vertical="bottom"/>
    </xf>
    <xf borderId="6" fillId="6" fontId="3" numFmtId="0" xfId="0" applyAlignment="1" applyBorder="1" applyFont="1">
      <alignment vertical="bottom"/>
    </xf>
    <xf borderId="12" fillId="6" fontId="3" numFmtId="0" xfId="0" applyAlignment="1" applyBorder="1" applyFont="1">
      <alignment vertical="bottom"/>
    </xf>
    <xf borderId="23" fillId="6" fontId="3" numFmtId="0" xfId="0" applyAlignment="1" applyBorder="1" applyFont="1">
      <alignment vertical="bottom"/>
    </xf>
    <xf borderId="3" fillId="0" fontId="12" numFmtId="0" xfId="0" applyAlignment="1" applyBorder="1" applyFont="1">
      <alignment vertical="bottom"/>
    </xf>
    <xf borderId="17" fillId="0" fontId="3" numFmtId="4" xfId="0" applyAlignment="1" applyBorder="1" applyFont="1" applyNumberFormat="1">
      <alignment horizontal="right" vertical="bottom"/>
    </xf>
    <xf borderId="3" fillId="6" fontId="3" numFmtId="0" xfId="0" applyAlignment="1" applyBorder="1" applyFont="1">
      <alignment vertical="bottom"/>
    </xf>
    <xf borderId="0" fillId="10" fontId="15" numFmtId="169" xfId="0" applyAlignment="1" applyFill="1" applyFont="1" applyNumberFormat="1">
      <alignment readingOrder="0"/>
    </xf>
    <xf borderId="6" fillId="0" fontId="12" numFmtId="0" xfId="0" applyAlignment="1" applyBorder="1" applyFont="1">
      <alignment vertical="bottom"/>
    </xf>
    <xf borderId="0" fillId="5" fontId="3" numFmtId="4" xfId="0" applyAlignment="1" applyFont="1" applyNumberFormat="1">
      <alignment horizontal="right" vertical="bottom"/>
    </xf>
    <xf borderId="0" fillId="11" fontId="3" numFmtId="0" xfId="0" applyAlignment="1" applyFill="1" applyFont="1">
      <alignment horizontal="right" vertical="bottom"/>
    </xf>
    <xf borderId="0" fillId="7" fontId="15" numFmtId="0" xfId="0" applyAlignment="1" applyFont="1">
      <alignment readingOrder="0"/>
    </xf>
    <xf borderId="0" fillId="9" fontId="15" numFmtId="166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9">
    <tableStyle count="3" pivot="0" name="2023-style">
      <tableStyleElement dxfId="1" type="headerRow"/>
      <tableStyleElement dxfId="2" type="firstRowStripe"/>
      <tableStyleElement dxfId="3" type="secondRowStripe"/>
    </tableStyle>
    <tableStyle count="3" pivot="0" name="2023-style 2">
      <tableStyleElement dxfId="1" type="headerRow"/>
      <tableStyleElement dxfId="2" type="firstRowStripe"/>
      <tableStyleElement dxfId="3" type="secondRowStripe"/>
    </tableStyle>
    <tableStyle count="3" pivot="0" name="2023-style 3">
      <tableStyleElement dxfId="1" type="headerRow"/>
      <tableStyleElement dxfId="2" type="firstRowStripe"/>
      <tableStyleElement dxfId="3" type="secondRowStripe"/>
    </tableStyle>
    <tableStyle count="3" pivot="0" name="2023-style 4">
      <tableStyleElement dxfId="1" type="headerRow"/>
      <tableStyleElement dxfId="2" type="firstRowStripe"/>
      <tableStyleElement dxfId="3" type="secondRowStripe"/>
    </tableStyle>
    <tableStyle count="3" pivot="0" name="2023-style 5">
      <tableStyleElement dxfId="1" type="headerRow"/>
      <tableStyleElement dxfId="2" type="firstRowStripe"/>
      <tableStyleElement dxfId="3" type="secondRowStripe"/>
    </tableStyle>
    <tableStyle count="3" pivot="0" name="2023-style 6">
      <tableStyleElement dxfId="1" type="headerRow"/>
      <tableStyleElement dxfId="2" type="firstRowStripe"/>
      <tableStyleElement dxfId="3" type="secondRowStripe"/>
    </tableStyle>
    <tableStyle count="3" pivot="0" name="2023-style 7">
      <tableStyleElement dxfId="1" type="headerRow"/>
      <tableStyleElement dxfId="2" type="firstRowStripe"/>
      <tableStyleElement dxfId="3" type="secondRowStripe"/>
    </tableStyle>
    <tableStyle count="3" pivot="0" name="2023-style 8">
      <tableStyleElement dxfId="1" type="headerRow"/>
      <tableStyleElement dxfId="2" type="firstRowStripe"/>
      <tableStyleElement dxfId="3" type="secondRowStripe"/>
    </tableStyle>
    <tableStyle count="3" pivot="0" name="2023-style 9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Año 2023 porcentuales sobre el ingreso total </a:t>
            </a:r>
          </a:p>
        </c:rich>
      </c:tx>
      <c:overlay val="0"/>
    </c:title>
    <c:plotArea>
      <c:layout/>
      <c:lineChart>
        <c:ser>
          <c:idx val="0"/>
          <c:order val="0"/>
          <c:tx>
            <c:v>NEUQUÉN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'Por pcia'!$G$55:$G$66</c:f>
            </c:strRef>
          </c:cat>
          <c:val>
            <c:numRef>
              <c:f>'Por pcia'!$H$55:$H$66</c:f>
              <c:numCache/>
            </c:numRef>
          </c:val>
          <c:smooth val="0"/>
        </c:ser>
        <c:ser>
          <c:idx val="1"/>
          <c:order val="1"/>
          <c:tx>
            <c:v>RN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'Por pcia'!$G$55:$G$66</c:f>
            </c:strRef>
          </c:cat>
          <c:val>
            <c:numRef>
              <c:f>'Por pcia'!$I$55:$I$66</c:f>
              <c:numCache/>
            </c:numRef>
          </c:val>
          <c:smooth val="0"/>
        </c:ser>
        <c:axId val="1447196633"/>
        <c:axId val="1257045577"/>
      </c:lineChart>
      <c:catAx>
        <c:axId val="14471966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57045577"/>
      </c:catAx>
      <c:valAx>
        <c:axId val="12570455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4719663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Año 2024 porcentuales sobre el ingreso total </a:t>
            </a:r>
          </a:p>
        </c:rich>
      </c:tx>
      <c:overlay val="0"/>
    </c:title>
    <c:plotArea>
      <c:layout/>
      <c:lineChart>
        <c:ser>
          <c:idx val="0"/>
          <c:order val="0"/>
          <c:tx>
            <c:v>NEUQUÉN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'Por pcia'!$G$39:$G$50</c:f>
            </c:strRef>
          </c:cat>
          <c:val>
            <c:numRef>
              <c:f>'Por pcia'!$H$39:$H$50</c:f>
              <c:numCache/>
            </c:numRef>
          </c:val>
          <c:smooth val="0"/>
        </c:ser>
        <c:ser>
          <c:idx val="1"/>
          <c:order val="1"/>
          <c:tx>
            <c:v>RN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'Por pcia'!$G$39:$G$50</c:f>
            </c:strRef>
          </c:cat>
          <c:val>
            <c:numRef>
              <c:f>'Por pcia'!$I$39:$I$50</c:f>
              <c:numCache/>
            </c:numRef>
          </c:val>
          <c:smooth val="0"/>
        </c:ser>
        <c:axId val="1614006000"/>
        <c:axId val="526158171"/>
      </c:lineChart>
      <c:catAx>
        <c:axId val="161400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526158171"/>
      </c:catAx>
      <c:valAx>
        <c:axId val="5261581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1400600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NEUQUÉN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'Por pcia'!$G$71:$G$82</c:f>
            </c:strRef>
          </c:cat>
          <c:val>
            <c:numRef>
              <c:f>'Por pcia'!$H$71:$H$82</c:f>
              <c:numCache/>
            </c:numRef>
          </c:val>
          <c:smooth val="0"/>
        </c:ser>
        <c:ser>
          <c:idx val="1"/>
          <c:order val="1"/>
          <c:tx>
            <c:v>RN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'Por pcia'!$G$71:$G$82</c:f>
            </c:strRef>
          </c:cat>
          <c:val>
            <c:numRef>
              <c:f>'Por pcia'!$I$71:$I$82</c:f>
              <c:numCache/>
            </c:numRef>
          </c:val>
          <c:smooth val="0"/>
        </c:ser>
        <c:axId val="1281377871"/>
        <c:axId val="1438240924"/>
      </c:lineChart>
      <c:catAx>
        <c:axId val="1281377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8240924"/>
      </c:catAx>
      <c:valAx>
        <c:axId val="14382409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8137787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MATIAS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'2022'!$K$3:$K$12</c:f>
            </c:strRef>
          </c:cat>
          <c:val>
            <c:numRef>
              <c:f>'2022'!$L$3:$L$12</c:f>
              <c:numCache/>
            </c:numRef>
          </c:val>
        </c:ser>
        <c:ser>
          <c:idx val="1"/>
          <c:order val="1"/>
          <c:tx>
            <c:v>LUCAS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'2022'!$K$3:$K$12</c:f>
            </c:strRef>
          </c:cat>
          <c:val>
            <c:numRef>
              <c:f>'2022'!$M$3:$M$12</c:f>
              <c:numCache/>
            </c:numRef>
          </c:val>
        </c:ser>
        <c:ser>
          <c:idx val="2"/>
          <c:order val="2"/>
          <c:tx>
            <c:v>JP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'2022'!$K$3:$K$12</c:f>
            </c:strRef>
          </c:cat>
          <c:val>
            <c:numRef>
              <c:f>'2022'!$N$3:$N$12</c:f>
              <c:numCache/>
            </c:numRef>
          </c:val>
        </c:ser>
        <c:axId val="1343650215"/>
        <c:axId val="1678586633"/>
      </c:barChart>
      <c:catAx>
        <c:axId val="1343650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78586633"/>
      </c:catAx>
      <c:valAx>
        <c:axId val="16785866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4365021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Año 2022 porcentuales sobre el ingreso total </a:t>
            </a:r>
          </a:p>
        </c:rich>
      </c:tx>
      <c:overlay val="0"/>
    </c:title>
    <c:plotArea>
      <c:layout/>
      <c:lineChart>
        <c:ser>
          <c:idx val="0"/>
          <c:order val="0"/>
          <c:tx>
            <c:v>NEUQUÉN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'2022'!$A$234:$A$245</c:f>
            </c:strRef>
          </c:cat>
          <c:val>
            <c:numRef>
              <c:f>'2022'!$E$234:$E$245</c:f>
              <c:numCache/>
            </c:numRef>
          </c:val>
          <c:smooth val="0"/>
        </c:ser>
        <c:ser>
          <c:idx val="1"/>
          <c:order val="1"/>
          <c:tx>
            <c:v>RN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'2022'!$A$234:$A$245</c:f>
            </c:strRef>
          </c:cat>
          <c:val>
            <c:numRef>
              <c:f>'2022'!$F$234:$F$245</c:f>
              <c:numCache/>
            </c:numRef>
          </c:val>
          <c:smooth val="0"/>
        </c:ser>
        <c:axId val="1624843821"/>
        <c:axId val="1405976719"/>
      </c:lineChart>
      <c:catAx>
        <c:axId val="16248438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05976719"/>
      </c:catAx>
      <c:valAx>
        <c:axId val="14059767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2484382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Chart4.png"/><Relationship Id="rId5" Type="http://schemas.openxmlformats.org/officeDocument/2006/relationships/image" Target="../media/Chart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914400</xdr:colOff>
      <xdr:row>51</xdr:row>
      <xdr:rowOff>0</xdr:rowOff>
    </xdr:from>
    <xdr:ext cx="4286250" cy="28765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914400</xdr:colOff>
      <xdr:row>35</xdr:row>
      <xdr:rowOff>0</xdr:rowOff>
    </xdr:from>
    <xdr:ext cx="4286250" cy="26955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914400</xdr:colOff>
      <xdr:row>67</xdr:row>
      <xdr:rowOff>161925</xdr:rowOff>
    </xdr:from>
    <xdr:ext cx="4286250" cy="26574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914400</xdr:colOff>
      <xdr:row>19</xdr:row>
      <xdr:rowOff>133350</xdr:rowOff>
    </xdr:from>
    <xdr:ext cx="4286250" cy="2695575"/>
    <xdr:pic>
      <xdr:nvPicPr>
        <xdr:cNvPr id="866601008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914400</xdr:colOff>
      <xdr:row>1</xdr:row>
      <xdr:rowOff>104775</xdr:rowOff>
    </xdr:from>
    <xdr:ext cx="4286250" cy="2695575"/>
    <xdr:pic>
      <xdr:nvPicPr>
        <xdr:cNvPr id="624582591" name="Chart7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323850</xdr:colOff>
      <xdr:row>13</xdr:row>
      <xdr:rowOff>133350</xdr:rowOff>
    </xdr:from>
    <xdr:ext cx="4629150" cy="280035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733425</xdr:colOff>
      <xdr:row>231</xdr:row>
      <xdr:rowOff>161925</xdr:rowOff>
    </xdr:from>
    <xdr:ext cx="4352925" cy="277177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9" displayName="Table_1" name="Table_1" id="1">
  <tableColumns count="12">
    <tableColumn name=" " id="1"/>
    <tableColumn name="ADV 0901" id="2"/>
    <tableColumn name="ADV 2001" id="3"/>
    <tableColumn name="ADV 2701" id="4"/>
    <tableColumn name="ADV" id="5"/>
    <tableColumn name="ADV2" id="6"/>
    <tableColumn name="NQN 1301" id="7"/>
    <tableColumn name="NQN 2301" id="8"/>
    <tableColumn name="NQN 2701" id="9"/>
    <tableColumn name="NQN 3101" id="10"/>
    <tableColumn name="NQN" id="11"/>
    <tableColumn name="Totales" id="12"/>
  </tableColumns>
  <tableStyleInfo name="2023-style" showColumnStripes="0" showFirstColumn="1" showLastColumn="1" showRowStripes="1"/>
</table>
</file>

<file path=xl/tables/table2.xml><?xml version="1.0" encoding="utf-8"?>
<table xmlns="http://schemas.openxmlformats.org/spreadsheetml/2006/main" ref="A22:L40" displayName="Table_2" name="Table_2" id="2">
  <tableColumns count="12">
    <tableColumn name="Socio" id="1"/>
    <tableColumn name="ADV 0202" id="2"/>
    <tableColumn name="ADV 0902" id="3"/>
    <tableColumn name="ADV 1702" id="4"/>
    <tableColumn name="ADV 2402" id="5"/>
    <tableColumn name="ADV" id="6"/>
    <tableColumn name="NQN 1502" id="7"/>
    <tableColumn name="NQN 2402" id="8"/>
    <tableColumn name="NQN 2802" id="9"/>
    <tableColumn name="NQN 4" id="10"/>
    <tableColumn name="NQN 5" id="11"/>
    <tableColumn name="Totales" id="12"/>
  </tableColumns>
  <tableStyleInfo name="2023-style 2" showColumnStripes="0" showFirstColumn="1" showLastColumn="1" showRowStripes="1"/>
</table>
</file>

<file path=xl/tables/table3.xml><?xml version="1.0" encoding="utf-8"?>
<table xmlns="http://schemas.openxmlformats.org/spreadsheetml/2006/main" ref="A43:M61" displayName="Table_3" name="Table_3" id="3">
  <tableColumns count="13">
    <tableColumn name="Socio" id="1"/>
    <tableColumn name="ADV 0303" id="2"/>
    <tableColumn name="ADV 1003" id="3"/>
    <tableColumn name="RN 1003" id="4"/>
    <tableColumn name="ADV 1703" id="5"/>
    <tableColumn name="ADV 2403" id="6"/>
    <tableColumn name="ADV 3103" id="7"/>
    <tableColumn name="NQN 1503" id="8"/>
    <tableColumn name="NQN 3101" id="9"/>
    <tableColumn name="NQN 2802" id="10"/>
    <tableColumn name="NQN 4" id="11"/>
    <tableColumn name="NQN 5" id="12"/>
    <tableColumn name="Totales" id="13"/>
  </tableColumns>
  <tableStyleInfo name="2023-style 3" showColumnStripes="0" showFirstColumn="1" showLastColumn="1" showRowStripes="1"/>
</table>
</file>

<file path=xl/tables/table4.xml><?xml version="1.0" encoding="utf-8"?>
<table xmlns="http://schemas.openxmlformats.org/spreadsheetml/2006/main" ref="A64:M82" displayName="Table_4" name="Table_4" id="4">
  <tableColumns count="13">
    <tableColumn name="Socio" id="1"/>
    <tableColumn name="ADV 0704" id="2"/>
    <tableColumn name="ADV 1204" id="3"/>
    <tableColumn name="RN 1204" id="4"/>
    <tableColumn name="ADV 2004" id="5"/>
    <tableColumn name="ADV 2804" id="6"/>
    <tableColumn name="Columna1" id="7"/>
    <tableColumn name="NQN 1404" id="8"/>
    <tableColumn name="NQN 2604" id="9"/>
    <tableColumn name="NQN 2804" id="10"/>
    <tableColumn name="NQN 4" id="11"/>
    <tableColumn name="NQN 5" id="12"/>
    <tableColumn name="Totales" id="13"/>
  </tableColumns>
  <tableStyleInfo name="2023-style 4" showColumnStripes="0" showFirstColumn="1" showLastColumn="1" showRowStripes="1"/>
</table>
</file>

<file path=xl/tables/table5.xml><?xml version="1.0" encoding="utf-8"?>
<table xmlns="http://schemas.openxmlformats.org/spreadsheetml/2006/main" ref="A85:M103" displayName="Table_5" name="Table_5" id="5">
  <tableColumns count="13">
    <tableColumn name="Socio" id="1"/>
    <tableColumn name="ADV 0505" id="2"/>
    <tableColumn name="ADV 1205" id="3"/>
    <tableColumn name="ADV 1805" id="4"/>
    <tableColumn name="ADV 2305" id="5"/>
    <tableColumn name="ADV 3005" id="6"/>
    <tableColumn name="Columna1" id="7"/>
    <tableColumn name="NQN 1505" id="8"/>
    <tableColumn name="NQN 3005" id="9"/>
    <tableColumn name="NQN 3105" id="10"/>
    <tableColumn name="NQN 4" id="11"/>
    <tableColumn name="NQN 5" id="12"/>
    <tableColumn name="Totales" id="13"/>
  </tableColumns>
  <tableStyleInfo name="2023-style 5" showColumnStripes="0" showFirstColumn="1" showLastColumn="1" showRowStripes="1"/>
</table>
</file>

<file path=xl/tables/table6.xml><?xml version="1.0" encoding="utf-8"?>
<table xmlns="http://schemas.openxmlformats.org/spreadsheetml/2006/main" ref="A106:M124" displayName="Table_6" name="Table_6" id="6">
  <tableColumns count="13">
    <tableColumn name="Socio" id="1"/>
    <tableColumn name="ADV 0206" id="2"/>
    <tableColumn name="ADV 0906" id="3"/>
    <tableColumn name="ADV 1606" id="4"/>
    <tableColumn name="ADV 2306" id="5"/>
    <tableColumn name="ADV 3006" id="6"/>
    <tableColumn name="Columna1" id="7"/>
    <tableColumn name="NQN 05/06" id="8"/>
    <tableColumn name="NQN 15/06" id="9"/>
    <tableColumn name="NQN 2806" id="10"/>
    <tableColumn name="NQN 3006" id="11"/>
    <tableColumn name="NQN 5" id="12"/>
    <tableColumn name="Totales" id="13"/>
  </tableColumns>
  <tableStyleInfo name="2023-style 6" showColumnStripes="0" showFirstColumn="1" showLastColumn="1" showRowStripes="1"/>
</table>
</file>

<file path=xl/tables/table7.xml><?xml version="1.0" encoding="utf-8"?>
<table xmlns="http://schemas.openxmlformats.org/spreadsheetml/2006/main" ref="A127:N145" displayName="Table_7" name="Table_7" id="7">
  <tableColumns count="14">
    <tableColumn name="Socio" id="1"/>
    <tableColumn name="ADV 0707" id="2"/>
    <tableColumn name="ADV 1407" id="3"/>
    <tableColumn name="ADV 2107" id="4"/>
    <tableColumn name="ADV 2807" id="5"/>
    <tableColumn name="ADV 3006" id="6"/>
    <tableColumn name="ADV 0109" id="7"/>
    <tableColumn name="NQN 05/07" id="8"/>
    <tableColumn name="NQN 15/07" id="9"/>
    <tableColumn name="NQN 2507" id="10"/>
    <tableColumn name="NQN 2807" id="11"/>
    <tableColumn name="NQN 5" id="12"/>
    <tableColumn name="Totales" id="13"/>
    <tableColumn name="Columna2" id="14"/>
  </tableColumns>
  <tableStyleInfo name="2023-style 7" showColumnStripes="0" showFirstColumn="1" showLastColumn="1" showRowStripes="1"/>
</table>
</file>

<file path=xl/tables/table8.xml><?xml version="1.0" encoding="utf-8"?>
<table xmlns="http://schemas.openxmlformats.org/spreadsheetml/2006/main" ref="A148:P166" displayName="Table_8" name="Table_8" id="8">
  <tableColumns count="16">
    <tableColumn name="Socio" id="1"/>
    <tableColumn name="ADV 0408" id="2"/>
    <tableColumn name="ADV 1108" id="3"/>
    <tableColumn name="ADV 1808" id="4"/>
    <tableColumn name="ADV 2508" id="5"/>
    <tableColumn name="ADV 3108" id="6"/>
    <tableColumn name="ADV 2408 AGUIN" id="7"/>
    <tableColumn name="NQN 05/08" id="8"/>
    <tableColumn name="NQN 15/08" id="9"/>
    <tableColumn name="NQN 2808" id="10"/>
    <tableColumn name="NQN 3108" id="11"/>
    <tableColumn name="NQN 5" id="12"/>
    <tableColumn name="Totales" id="13"/>
    <tableColumn name="Columna2" id="14"/>
    <tableColumn name="Columna3" id="15"/>
    <tableColumn name="Columna4" id="16"/>
  </tableColumns>
  <tableStyleInfo name="2023-style 8" showColumnStripes="0" showFirstColumn="1" showLastColumn="1" showRowStripes="1"/>
</table>
</file>

<file path=xl/tables/table9.xml><?xml version="1.0" encoding="utf-8"?>
<table xmlns="http://schemas.openxmlformats.org/spreadsheetml/2006/main" ref="A169:P188" displayName="Table_9" name="Table_9" id="9">
  <tableColumns count="16">
    <tableColumn name="Socio" id="1"/>
    <tableColumn name="ADV 0109" id="2"/>
    <tableColumn name="ADV 0809" id="3"/>
    <tableColumn name="ADV 1509" id="4"/>
    <tableColumn name="ADV 2109" id="5"/>
    <tableColumn name="ADV 3108" id="6"/>
    <tableColumn name="Columna1" id="7"/>
    <tableColumn name="NQN 05/09" id="8"/>
    <tableColumn name="NQN 15/09" id="9"/>
    <tableColumn name="NQN 2709" id="10"/>
    <tableColumn name="NQN 2909" id="11"/>
    <tableColumn name="NQN 5" id="12"/>
    <tableColumn name="Totales" id="13"/>
    <tableColumn name="Columna2" id="14"/>
    <tableColumn name="Columna3" id="15"/>
    <tableColumn name="Columna4" id="16"/>
  </tableColumns>
  <tableStyleInfo name="2023-style 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5.0"/>
    <col customWidth="1" min="3" max="4" width="15.43"/>
    <col customWidth="1" min="5" max="6" width="10.71"/>
    <col customWidth="1" min="7" max="8" width="17.14"/>
    <col customWidth="1" min="9" max="9" width="20.86"/>
    <col customWidth="1" min="10" max="10" width="18.71"/>
    <col customWidth="1" min="11" max="11" width="12.71"/>
    <col customWidth="1" min="12" max="12" width="11.43"/>
    <col customWidth="1" min="13" max="13" width="10.71"/>
    <col customWidth="1" min="14" max="14" width="16.14"/>
    <col customWidth="1" min="15" max="15" width="10.71"/>
    <col customWidth="1" min="16" max="16" width="14.86"/>
    <col customWidth="1" min="17" max="17" width="15.29"/>
    <col customWidth="1" min="18" max="26" width="10.71"/>
  </cols>
  <sheetData>
    <row r="1" ht="14.25" customHeight="1">
      <c r="G1" s="4">
        <v>2026.0</v>
      </c>
    </row>
    <row r="2" ht="14.25" customHeight="1">
      <c r="G2" s="116" t="s">
        <v>349</v>
      </c>
      <c r="H2" s="117" t="s">
        <v>494</v>
      </c>
      <c r="K2" s="116" t="s">
        <v>495</v>
      </c>
    </row>
    <row r="3" ht="14.25" customHeight="1">
      <c r="H3" s="15" t="s">
        <v>350</v>
      </c>
      <c r="I3" s="26" t="s">
        <v>351</v>
      </c>
      <c r="J3" s="21" t="s">
        <v>456</v>
      </c>
      <c r="K3" s="26" t="s">
        <v>350</v>
      </c>
      <c r="L3" s="26" t="s">
        <v>351</v>
      </c>
      <c r="M3" s="4" t="s">
        <v>496</v>
      </c>
    </row>
    <row r="4" ht="14.25" customHeight="1">
      <c r="G4" s="21">
        <v>1.0</v>
      </c>
      <c r="H4" s="82">
        <f>SUM('2026'!J3:N23)</f>
        <v>621199538</v>
      </c>
      <c r="I4" s="82">
        <f>SUM('2026'!B3:I23)</f>
        <v>528090445</v>
      </c>
      <c r="J4" s="82">
        <f t="shared" ref="J4:J10" si="1">SUM(H4:I4)</f>
        <v>1149289983</v>
      </c>
      <c r="K4" s="44">
        <f t="shared" ref="K4:K16" si="2">H4/J4</f>
        <v>0.5405072238</v>
      </c>
      <c r="L4" s="44">
        <f t="shared" ref="L4:L16" si="3">I4/J4</f>
        <v>0.4594927762</v>
      </c>
      <c r="M4" s="118">
        <v>1458.88</v>
      </c>
      <c r="N4" s="36">
        <f t="shared" ref="N4:N15" si="4">J4/M4</f>
        <v>787789.2513</v>
      </c>
    </row>
    <row r="5" ht="14.25" customHeight="1">
      <c r="G5" s="21">
        <v>2.0</v>
      </c>
      <c r="H5" s="119">
        <f>SUM('2026'!J27:N47)</f>
        <v>402441103</v>
      </c>
      <c r="I5" s="119">
        <f>SUM('2026'!B27:I47)</f>
        <v>484522502</v>
      </c>
      <c r="J5" s="82">
        <f t="shared" si="1"/>
        <v>886963605</v>
      </c>
      <c r="K5" s="44">
        <f t="shared" si="2"/>
        <v>0.4537289926</v>
      </c>
      <c r="L5" s="44">
        <f t="shared" si="3"/>
        <v>0.5462710074</v>
      </c>
      <c r="M5" s="118">
        <v>1441.19</v>
      </c>
      <c r="N5" s="36">
        <f t="shared" si="4"/>
        <v>615438.3565</v>
      </c>
    </row>
    <row r="6" ht="14.25" customHeight="1">
      <c r="G6" s="21">
        <v>3.0</v>
      </c>
      <c r="H6" s="82">
        <f>SUM('2026'!J51:N71)</f>
        <v>357402618</v>
      </c>
      <c r="I6" s="119">
        <f>SUM('2026'!B51:F71)</f>
        <v>345293187</v>
      </c>
      <c r="J6" s="82">
        <f t="shared" si="1"/>
        <v>702695805</v>
      </c>
      <c r="K6" s="44">
        <f t="shared" si="2"/>
        <v>0.5086164105</v>
      </c>
      <c r="L6" s="44">
        <f t="shared" si="3"/>
        <v>0.4913835895</v>
      </c>
      <c r="M6" s="121">
        <v>1423.78</v>
      </c>
      <c r="N6" s="36">
        <f t="shared" si="4"/>
        <v>493542.4047</v>
      </c>
    </row>
    <row r="7" ht="14.25" customHeight="1">
      <c r="G7" s="21">
        <v>4.0</v>
      </c>
      <c r="H7" s="82">
        <f>SUM('2026'!J75:M95)</f>
        <v>363503529</v>
      </c>
      <c r="I7" s="119">
        <f>SUM('2026'!B75:I95)</f>
        <v>384836491</v>
      </c>
      <c r="J7" s="82">
        <f t="shared" si="1"/>
        <v>748340020</v>
      </c>
      <c r="K7" s="44">
        <f t="shared" si="2"/>
        <v>0.4857464779</v>
      </c>
      <c r="L7" s="44">
        <f t="shared" si="3"/>
        <v>0.5142535221</v>
      </c>
      <c r="M7" s="118">
        <v>1442.43</v>
      </c>
      <c r="N7" s="36">
        <f t="shared" si="4"/>
        <v>518805.0859</v>
      </c>
    </row>
    <row r="8" ht="14.25" customHeight="1">
      <c r="G8" s="21">
        <v>5.0</v>
      </c>
      <c r="H8" s="82">
        <f>SUM('2026'!J99:M119)</f>
        <v>388526644</v>
      </c>
      <c r="I8" s="119">
        <f>SUM('2026'!B99:I119)</f>
        <v>580381797</v>
      </c>
      <c r="J8" s="82">
        <f t="shared" si="1"/>
        <v>968908441</v>
      </c>
      <c r="K8" s="44">
        <f t="shared" si="2"/>
        <v>0.4009941781</v>
      </c>
      <c r="L8" s="44">
        <f t="shared" si="3"/>
        <v>0.5990058219</v>
      </c>
      <c r="M8" s="122">
        <v>1438.6</v>
      </c>
      <c r="N8" s="36">
        <f t="shared" si="4"/>
        <v>673507.8834</v>
      </c>
    </row>
    <row r="9" ht="14.25" customHeight="1">
      <c r="G9" s="21">
        <v>6.0</v>
      </c>
      <c r="H9" s="82">
        <f>SUM('2026'!J123:N143)</f>
        <v>535064137</v>
      </c>
      <c r="I9" s="119">
        <f>SUM('2026'!B123:I143)</f>
        <v>611194686</v>
      </c>
      <c r="J9" s="82">
        <f t="shared" si="1"/>
        <v>1146258823</v>
      </c>
      <c r="K9" s="44">
        <f t="shared" si="2"/>
        <v>0.4667917282</v>
      </c>
      <c r="L9" s="44">
        <f t="shared" si="3"/>
        <v>0.5332082718</v>
      </c>
      <c r="M9" s="122">
        <v>1521.37</v>
      </c>
      <c r="N9" s="36">
        <f t="shared" si="4"/>
        <v>753438.5606</v>
      </c>
    </row>
    <row r="10" ht="14.25" customHeight="1">
      <c r="G10" s="21">
        <v>7.0</v>
      </c>
      <c r="H10" s="82">
        <f>SUM('2026'!J147:N167)</f>
        <v>70774160</v>
      </c>
      <c r="I10" s="119">
        <f>SUM('2026'!B147:I167)</f>
        <v>169174731</v>
      </c>
      <c r="J10" s="82">
        <f t="shared" si="1"/>
        <v>239948891</v>
      </c>
      <c r="K10" s="44">
        <f t="shared" si="2"/>
        <v>0.2949551453</v>
      </c>
      <c r="L10" s="44">
        <f t="shared" si="3"/>
        <v>0.7050448547</v>
      </c>
      <c r="M10" s="123"/>
      <c r="N10" s="36" t="str">
        <f t="shared" si="4"/>
        <v>#DIV/0!</v>
      </c>
    </row>
    <row r="11" ht="14.25" customHeight="1">
      <c r="G11" s="21">
        <v>8.0</v>
      </c>
      <c r="H11" s="82"/>
      <c r="I11" s="119"/>
      <c r="J11" s="82"/>
      <c r="K11" s="44" t="str">
        <f t="shared" si="2"/>
        <v>#DIV/0!</v>
      </c>
      <c r="L11" s="44" t="str">
        <f t="shared" si="3"/>
        <v>#DIV/0!</v>
      </c>
      <c r="M11" s="123"/>
      <c r="N11" s="36" t="str">
        <f t="shared" si="4"/>
        <v>#DIV/0!</v>
      </c>
    </row>
    <row r="12" ht="14.25" customHeight="1">
      <c r="G12" s="21">
        <v>9.0</v>
      </c>
      <c r="H12" s="82"/>
      <c r="I12" s="119"/>
      <c r="J12" s="82"/>
      <c r="K12" s="44" t="str">
        <f t="shared" si="2"/>
        <v>#DIV/0!</v>
      </c>
      <c r="L12" s="44" t="str">
        <f t="shared" si="3"/>
        <v>#DIV/0!</v>
      </c>
      <c r="M12" s="118"/>
      <c r="N12" s="36" t="str">
        <f t="shared" si="4"/>
        <v>#DIV/0!</v>
      </c>
    </row>
    <row r="13" ht="14.25" customHeight="1">
      <c r="G13" s="21">
        <v>10.0</v>
      </c>
      <c r="H13" s="82"/>
      <c r="I13" s="119"/>
      <c r="J13" s="82"/>
      <c r="K13" s="44" t="str">
        <f t="shared" si="2"/>
        <v>#DIV/0!</v>
      </c>
      <c r="L13" s="44" t="str">
        <f t="shared" si="3"/>
        <v>#DIV/0!</v>
      </c>
      <c r="M13" s="123"/>
      <c r="N13" s="36" t="str">
        <f t="shared" si="4"/>
        <v>#DIV/0!</v>
      </c>
    </row>
    <row r="14" ht="14.25" customHeight="1">
      <c r="G14" s="21">
        <v>11.0</v>
      </c>
      <c r="H14" s="82"/>
      <c r="I14" s="119"/>
      <c r="J14" s="82"/>
      <c r="K14" s="44" t="str">
        <f t="shared" si="2"/>
        <v>#DIV/0!</v>
      </c>
      <c r="L14" s="44" t="str">
        <f t="shared" si="3"/>
        <v>#DIV/0!</v>
      </c>
      <c r="M14" s="118"/>
      <c r="N14" s="36" t="str">
        <f t="shared" si="4"/>
        <v>#DIV/0!</v>
      </c>
    </row>
    <row r="15" ht="14.25" customHeight="1">
      <c r="G15" s="21">
        <v>12.0</v>
      </c>
      <c r="H15" s="82"/>
      <c r="I15" s="119"/>
      <c r="J15" s="82"/>
      <c r="K15" s="44" t="str">
        <f t="shared" si="2"/>
        <v>#DIV/0!</v>
      </c>
      <c r="L15" s="44" t="str">
        <f t="shared" si="3"/>
        <v>#DIV/0!</v>
      </c>
      <c r="M15" s="118"/>
      <c r="N15" s="36" t="str">
        <f t="shared" si="4"/>
        <v>#DIV/0!</v>
      </c>
    </row>
    <row r="16" ht="14.25" customHeight="1">
      <c r="G16" s="26" t="s">
        <v>363</v>
      </c>
      <c r="H16" s="82">
        <f t="shared" ref="H16:I16" si="5">SUM(H4:H14)</f>
        <v>2738911729</v>
      </c>
      <c r="I16" s="82">
        <f t="shared" si="5"/>
        <v>3103493839</v>
      </c>
      <c r="J16" s="82">
        <f>SUM(H16:I16)</f>
        <v>5842405568</v>
      </c>
      <c r="K16" s="44">
        <f t="shared" si="2"/>
        <v>0.4687986305</v>
      </c>
      <c r="L16" s="44">
        <f t="shared" si="3"/>
        <v>0.5312013695</v>
      </c>
      <c r="N16" s="21" t="str">
        <f>SUM(N4:N15)</f>
        <v>#DIV/0!</v>
      </c>
    </row>
    <row r="17" ht="14.25" customHeight="1">
      <c r="G17" s="4"/>
    </row>
    <row r="18" ht="14.25" customHeight="1">
      <c r="G18" s="4"/>
    </row>
    <row r="19" ht="14.25" customHeight="1">
      <c r="G19" s="4">
        <v>2025.0</v>
      </c>
    </row>
    <row r="20" ht="14.25" customHeight="1">
      <c r="G20" s="116" t="s">
        <v>349</v>
      </c>
      <c r="H20" s="117" t="s">
        <v>494</v>
      </c>
      <c r="K20" s="116" t="s">
        <v>495</v>
      </c>
    </row>
    <row r="21" ht="14.25" customHeight="1">
      <c r="H21" s="15" t="s">
        <v>350</v>
      </c>
      <c r="I21" s="26" t="s">
        <v>351</v>
      </c>
      <c r="J21" s="21" t="s">
        <v>456</v>
      </c>
      <c r="K21" s="26" t="s">
        <v>350</v>
      </c>
      <c r="L21" s="26" t="s">
        <v>351</v>
      </c>
    </row>
    <row r="22" ht="14.25" customHeight="1">
      <c r="G22" s="21">
        <v>1.0</v>
      </c>
      <c r="H22" s="82">
        <f>SUM('2025'!K2:M22)</f>
        <v>610603144</v>
      </c>
      <c r="I22" s="82">
        <f>SUM('2025'!B2:G22)</f>
        <v>426029122</v>
      </c>
      <c r="J22" s="82">
        <f t="shared" ref="J22:J34" si="6">SUM(H22:I22)</f>
        <v>1036632266</v>
      </c>
      <c r="K22" s="44">
        <f t="shared" ref="K22:K34" si="7">H22/J22</f>
        <v>0.5890257944</v>
      </c>
      <c r="L22" s="44">
        <f t="shared" ref="L22:L34" si="8">I22/J22</f>
        <v>0.4109742056</v>
      </c>
      <c r="M22" s="118">
        <v>1164.89</v>
      </c>
      <c r="N22" s="36">
        <f t="shared" ref="N22:N33" si="9">J22/M22</f>
        <v>889897.1285</v>
      </c>
    </row>
    <row r="23" ht="14.25" customHeight="1">
      <c r="G23" s="21">
        <v>2.0</v>
      </c>
      <c r="H23" s="82">
        <f>SUM('2025'!J26:N46)</f>
        <v>256006932.7</v>
      </c>
      <c r="I23" s="82">
        <f>SUM('2025'!B26:G46)</f>
        <v>404598262.5</v>
      </c>
      <c r="J23" s="82">
        <f t="shared" si="6"/>
        <v>660605195.2</v>
      </c>
      <c r="K23" s="44">
        <f t="shared" si="7"/>
        <v>0.3875339379</v>
      </c>
      <c r="L23" s="44">
        <f t="shared" si="8"/>
        <v>0.6124660621</v>
      </c>
      <c r="M23" s="118">
        <v>1228.48</v>
      </c>
      <c r="N23" s="36">
        <f t="shared" si="9"/>
        <v>537741.921</v>
      </c>
    </row>
    <row r="24" ht="14.25" customHeight="1">
      <c r="G24" s="21">
        <v>3.0</v>
      </c>
      <c r="H24" s="82">
        <f>SUM('2025'!J50:N70)</f>
        <v>289041594.6</v>
      </c>
      <c r="I24" s="82">
        <f>SUM('2025'!B50:F70)</f>
        <v>230676635.6</v>
      </c>
      <c r="J24" s="82">
        <f t="shared" si="6"/>
        <v>519718230.2</v>
      </c>
      <c r="K24" s="44">
        <f t="shared" si="7"/>
        <v>0.5561505789</v>
      </c>
      <c r="L24" s="44">
        <f t="shared" si="8"/>
        <v>0.4438494211</v>
      </c>
      <c r="M24" s="118">
        <v>1313.97</v>
      </c>
      <c r="N24" s="36">
        <f t="shared" si="9"/>
        <v>395532.7977</v>
      </c>
    </row>
    <row r="25" ht="14.25" customHeight="1">
      <c r="G25" s="21">
        <v>4.0</v>
      </c>
      <c r="H25" s="82">
        <f>SUM('2025'!J74:N94)</f>
        <v>311091570</v>
      </c>
      <c r="I25" s="82">
        <f>SUM('2025'!B74:G94)</f>
        <v>322131725</v>
      </c>
      <c r="J25" s="82">
        <f t="shared" si="6"/>
        <v>633223295</v>
      </c>
      <c r="K25" s="44">
        <f t="shared" si="7"/>
        <v>0.4912825736</v>
      </c>
      <c r="L25" s="44">
        <f t="shared" si="8"/>
        <v>0.5087174264</v>
      </c>
      <c r="M25" s="118">
        <v>1183.37</v>
      </c>
      <c r="N25" s="36">
        <f t="shared" si="9"/>
        <v>535101.6968</v>
      </c>
    </row>
    <row r="26" ht="14.25" customHeight="1">
      <c r="G26" s="21">
        <v>5.0</v>
      </c>
      <c r="H26" s="82">
        <f>SUM('2025'!J98:N118)</f>
        <v>412393753</v>
      </c>
      <c r="I26" s="82">
        <f>SUM('2025'!B98:H118)</f>
        <v>391409304</v>
      </c>
      <c r="J26" s="82">
        <f t="shared" si="6"/>
        <v>803803057</v>
      </c>
      <c r="K26" s="44">
        <f t="shared" si="7"/>
        <v>0.5130532279</v>
      </c>
      <c r="L26" s="44">
        <f t="shared" si="8"/>
        <v>0.4869467721</v>
      </c>
      <c r="M26" s="118">
        <v>1191.72</v>
      </c>
      <c r="N26" s="36">
        <f t="shared" si="9"/>
        <v>674489.8609</v>
      </c>
    </row>
    <row r="27" ht="14.25" customHeight="1">
      <c r="G27" s="21">
        <v>6.0</v>
      </c>
      <c r="H27" s="82">
        <f>SUM('2025'!J122:N142)</f>
        <v>412176563</v>
      </c>
      <c r="I27" s="82">
        <f>SUM('2025'!B122:G142)</f>
        <v>337774396</v>
      </c>
      <c r="J27" s="82">
        <f t="shared" si="6"/>
        <v>749950959</v>
      </c>
      <c r="K27" s="44">
        <f t="shared" si="7"/>
        <v>0.5496046882</v>
      </c>
      <c r="L27" s="44">
        <f t="shared" si="8"/>
        <v>0.4503953118</v>
      </c>
      <c r="M27" s="118">
        <v>1211.1</v>
      </c>
      <c r="N27" s="36">
        <f t="shared" si="9"/>
        <v>619231.2435</v>
      </c>
    </row>
    <row r="28" ht="14.25" customHeight="1">
      <c r="G28" s="21">
        <v>7.0</v>
      </c>
      <c r="H28" s="82">
        <f>SUM('2025'!J146:N166)</f>
        <v>431986337</v>
      </c>
      <c r="I28" s="82">
        <f>SUM('2025'!B146:H166)</f>
        <v>473997945</v>
      </c>
      <c r="J28" s="82">
        <f t="shared" si="6"/>
        <v>905984282</v>
      </c>
      <c r="K28" s="44">
        <f t="shared" si="7"/>
        <v>0.4768143836</v>
      </c>
      <c r="L28" s="44">
        <f t="shared" si="8"/>
        <v>0.5231856164</v>
      </c>
      <c r="M28" s="123">
        <v>1359.76</v>
      </c>
      <c r="N28" s="36">
        <f t="shared" si="9"/>
        <v>666282.4925</v>
      </c>
    </row>
    <row r="29" ht="14.25" customHeight="1">
      <c r="G29" s="21">
        <v>8.0</v>
      </c>
      <c r="H29" s="82">
        <f>SUM('2025'!J170:N190)</f>
        <v>431052237</v>
      </c>
      <c r="I29" s="82">
        <f>SUM('2025'!B170:H190)</f>
        <v>1204135150</v>
      </c>
      <c r="J29" s="82">
        <f t="shared" si="6"/>
        <v>1635187387</v>
      </c>
      <c r="K29" s="44">
        <f t="shared" si="7"/>
        <v>0.2636102996</v>
      </c>
      <c r="L29" s="44">
        <f t="shared" si="8"/>
        <v>0.7363897004</v>
      </c>
      <c r="M29" s="123">
        <v>1357.34</v>
      </c>
      <c r="N29" s="36">
        <f t="shared" si="9"/>
        <v>1204699.918</v>
      </c>
    </row>
    <row r="30" ht="14.25" customHeight="1">
      <c r="G30" s="21">
        <v>9.0</v>
      </c>
      <c r="H30" s="82">
        <f>SUM('2025'!J194:M214)</f>
        <v>382875824</v>
      </c>
      <c r="I30" s="82">
        <f>SUM('2025'!B194:G214)</f>
        <v>415589717</v>
      </c>
      <c r="J30" s="82">
        <f t="shared" si="6"/>
        <v>798465541</v>
      </c>
      <c r="K30" s="44">
        <f t="shared" si="7"/>
        <v>0.4795145242</v>
      </c>
      <c r="L30" s="44">
        <f t="shared" si="8"/>
        <v>0.5204854758</v>
      </c>
      <c r="M30" s="118">
        <v>1494.02</v>
      </c>
      <c r="N30" s="36">
        <f t="shared" si="9"/>
        <v>534440.9988</v>
      </c>
    </row>
    <row r="31" ht="14.25" customHeight="1">
      <c r="G31" s="21">
        <v>10.0</v>
      </c>
      <c r="H31" s="82">
        <f>SUM('2025'!J218:N238)</f>
        <v>391952349</v>
      </c>
      <c r="I31" s="82">
        <f>SUM('2025'!B218:I238)</f>
        <v>690747316</v>
      </c>
      <c r="J31" s="82">
        <f t="shared" si="6"/>
        <v>1082699665</v>
      </c>
      <c r="K31" s="44">
        <f t="shared" si="7"/>
        <v>0.3620139192</v>
      </c>
      <c r="L31" s="44">
        <f t="shared" si="8"/>
        <v>0.6379860808</v>
      </c>
      <c r="M31" s="123">
        <v>1477.46</v>
      </c>
      <c r="N31" s="36">
        <f t="shared" si="9"/>
        <v>732811.4907</v>
      </c>
    </row>
    <row r="32" ht="14.25" customHeight="1">
      <c r="G32" s="21">
        <v>11.0</v>
      </c>
      <c r="H32" s="82">
        <f>SUM('2025'!J242:N262)</f>
        <v>360492074</v>
      </c>
      <c r="I32" s="119">
        <f>SUM('2025'!B242:I262)</f>
        <v>849966871</v>
      </c>
      <c r="J32" s="82">
        <f t="shared" si="6"/>
        <v>1210458945</v>
      </c>
      <c r="K32" s="44">
        <f t="shared" si="7"/>
        <v>0.2978143749</v>
      </c>
      <c r="L32" s="44">
        <f t="shared" si="8"/>
        <v>0.7021856251</v>
      </c>
      <c r="M32" s="118">
        <v>1476.42</v>
      </c>
      <c r="N32" s="36">
        <f t="shared" si="9"/>
        <v>819860.8424</v>
      </c>
    </row>
    <row r="33" ht="14.25" customHeight="1">
      <c r="G33" s="21">
        <v>12.0</v>
      </c>
      <c r="H33" s="82">
        <f>SUM('2025'!J266:N286)</f>
        <v>486112985</v>
      </c>
      <c r="I33" s="82">
        <f>SUM('2025'!B266:I286)</f>
        <v>579165118</v>
      </c>
      <c r="J33" s="82">
        <f t="shared" si="6"/>
        <v>1065278103</v>
      </c>
      <c r="K33" s="44">
        <f t="shared" si="7"/>
        <v>0.4563249574</v>
      </c>
      <c r="L33" s="44">
        <f t="shared" si="8"/>
        <v>0.5436750426</v>
      </c>
      <c r="M33" s="118">
        <v>1492.01</v>
      </c>
      <c r="N33" s="36">
        <f t="shared" si="9"/>
        <v>713988.5812</v>
      </c>
    </row>
    <row r="34" ht="14.25" customHeight="1">
      <c r="G34" s="26" t="s">
        <v>363</v>
      </c>
      <c r="H34" s="82">
        <f t="shared" ref="H34:I34" si="10">SUM(H22:H32)</f>
        <v>4289672378</v>
      </c>
      <c r="I34" s="82">
        <f t="shared" si="10"/>
        <v>5747056444</v>
      </c>
      <c r="J34" s="82">
        <f t="shared" si="6"/>
        <v>10036728822</v>
      </c>
      <c r="K34" s="44">
        <f t="shared" si="7"/>
        <v>0.4273974573</v>
      </c>
      <c r="L34" s="44">
        <f t="shared" si="8"/>
        <v>0.5726025427</v>
      </c>
      <c r="N34" s="36">
        <f>SUM(N22:N33)</f>
        <v>8324078.972</v>
      </c>
    </row>
    <row r="35" ht="14.25" customHeight="1"/>
    <row r="36" ht="14.25" customHeight="1">
      <c r="G36" s="21">
        <v>2024.0</v>
      </c>
    </row>
    <row r="37" ht="14.25" customHeight="1">
      <c r="G37" s="116" t="s">
        <v>349</v>
      </c>
      <c r="H37" s="117" t="s">
        <v>494</v>
      </c>
      <c r="K37" s="116" t="s">
        <v>495</v>
      </c>
    </row>
    <row r="38" ht="14.25" customHeight="1">
      <c r="H38" s="15" t="s">
        <v>350</v>
      </c>
      <c r="I38" s="26" t="s">
        <v>351</v>
      </c>
      <c r="J38" s="21" t="s">
        <v>456</v>
      </c>
      <c r="K38" s="26" t="s">
        <v>350</v>
      </c>
      <c r="L38" s="26" t="s">
        <v>351</v>
      </c>
    </row>
    <row r="39" ht="14.25" customHeight="1">
      <c r="G39" s="21">
        <v>1.0</v>
      </c>
      <c r="H39" s="82">
        <f>SUM('2024'!H2:L19)</f>
        <v>86019148.02</v>
      </c>
      <c r="I39" s="82">
        <f>SUM('2024'!B2:E19)</f>
        <v>65940617.5</v>
      </c>
      <c r="J39" s="82">
        <f t="shared" ref="J39:J51" si="11">SUM(H39:I39)</f>
        <v>151959765.5</v>
      </c>
      <c r="K39" s="44">
        <f t="shared" ref="K39:K51" si="12">H39/J39</f>
        <v>0.5660652853</v>
      </c>
      <c r="L39" s="44">
        <f t="shared" ref="L39:L51" si="13">I39/J39</f>
        <v>0.4339347147</v>
      </c>
      <c r="M39" s="118">
        <v>1175.67</v>
      </c>
      <c r="N39" s="36">
        <f t="shared" ref="N39:N50" si="14">J39/M39</f>
        <v>129253.7579</v>
      </c>
    </row>
    <row r="40" ht="14.25" customHeight="1">
      <c r="G40" s="21">
        <v>2.0</v>
      </c>
      <c r="H40" s="82">
        <f>SUM('2024'!H24:K41)</f>
        <v>113169934.9</v>
      </c>
      <c r="I40" s="82">
        <f>SUM('2024'!B24:F41)</f>
        <v>106309697.2</v>
      </c>
      <c r="J40" s="82">
        <f t="shared" si="11"/>
        <v>219479632.1</v>
      </c>
      <c r="K40" s="44">
        <f t="shared" si="12"/>
        <v>0.5156284152</v>
      </c>
      <c r="L40" s="44">
        <f t="shared" si="13"/>
        <v>0.4843715848</v>
      </c>
      <c r="M40" s="118">
        <v>1032.24</v>
      </c>
      <c r="N40" s="36">
        <f t="shared" si="14"/>
        <v>212624.6146</v>
      </c>
    </row>
    <row r="41" ht="14.25" customHeight="1">
      <c r="G41" s="21">
        <v>3.0</v>
      </c>
      <c r="H41" s="82">
        <f>SUM('2024'!H46:K63)</f>
        <v>189028163.4</v>
      </c>
      <c r="I41" s="82">
        <f>SUM('2024'!B46:E63)</f>
        <v>95678866.24</v>
      </c>
      <c r="J41" s="82">
        <f t="shared" si="11"/>
        <v>284707029.6</v>
      </c>
      <c r="K41" s="44">
        <f t="shared" si="12"/>
        <v>0.6639392207</v>
      </c>
      <c r="L41" s="44">
        <f t="shared" si="13"/>
        <v>0.3360607793</v>
      </c>
      <c r="M41" s="118">
        <v>1016.09</v>
      </c>
      <c r="N41" s="36">
        <f t="shared" si="14"/>
        <v>280198.6336</v>
      </c>
    </row>
    <row r="42" ht="14.25" customHeight="1">
      <c r="G42" s="21">
        <v>4.0</v>
      </c>
      <c r="H42" s="82">
        <f>SUM('2024'!H68:L85)</f>
        <v>174261876.2</v>
      </c>
      <c r="I42" s="82">
        <f>SUM('2024'!B68:G85)</f>
        <v>145959130.8</v>
      </c>
      <c r="J42" s="82">
        <f t="shared" si="11"/>
        <v>320221007</v>
      </c>
      <c r="K42" s="44">
        <f t="shared" si="12"/>
        <v>0.5441925182</v>
      </c>
      <c r="L42" s="44">
        <f t="shared" si="13"/>
        <v>0.4558074818</v>
      </c>
      <c r="M42" s="118">
        <v>1040.89</v>
      </c>
      <c r="N42" s="36">
        <f t="shared" si="14"/>
        <v>307641.5443</v>
      </c>
    </row>
    <row r="43" ht="14.25" customHeight="1">
      <c r="G43" s="21">
        <v>5.0</v>
      </c>
      <c r="H43" s="82">
        <f>SUM('2024'!H90:K107)</f>
        <v>206840308.1</v>
      </c>
      <c r="I43" s="82">
        <f>SUM('2024'!B90:G107)</f>
        <v>177839246</v>
      </c>
      <c r="J43" s="82">
        <f t="shared" si="11"/>
        <v>384679554.1</v>
      </c>
      <c r="K43" s="44">
        <f t="shared" si="12"/>
        <v>0.5376950916</v>
      </c>
      <c r="L43" s="44">
        <f t="shared" si="13"/>
        <v>0.4623049084</v>
      </c>
      <c r="M43" s="118">
        <v>1215.93</v>
      </c>
      <c r="N43" s="36">
        <f t="shared" si="14"/>
        <v>316366.5294</v>
      </c>
    </row>
    <row r="44" ht="14.25" customHeight="1">
      <c r="G44" s="21">
        <v>6.0</v>
      </c>
      <c r="H44" s="82">
        <f>SUM('2024'!H112:L129)</f>
        <v>272324759.5</v>
      </c>
      <c r="I44" s="82">
        <f>SUM('2024'!B112:G129)</f>
        <v>203061877.5</v>
      </c>
      <c r="J44" s="82">
        <f t="shared" si="11"/>
        <v>475386637</v>
      </c>
      <c r="K44" s="44">
        <f t="shared" si="12"/>
        <v>0.5728489998</v>
      </c>
      <c r="L44" s="44">
        <f t="shared" si="13"/>
        <v>0.4271510002</v>
      </c>
      <c r="M44" s="118">
        <v>1347.96</v>
      </c>
      <c r="N44" s="36">
        <f t="shared" si="14"/>
        <v>352671.175</v>
      </c>
    </row>
    <row r="45" ht="14.25" customHeight="1">
      <c r="G45" s="21">
        <v>7.0</v>
      </c>
      <c r="H45" s="82">
        <f>SUM('2024'!H134:L153)</f>
        <v>300015923.7</v>
      </c>
      <c r="I45" s="82">
        <f>SUM('2024'!B134:F153)</f>
        <v>201081470.4</v>
      </c>
      <c r="J45" s="82">
        <f t="shared" si="11"/>
        <v>501097394.1</v>
      </c>
      <c r="K45" s="44">
        <f t="shared" si="12"/>
        <v>0.5987177887</v>
      </c>
      <c r="L45" s="44">
        <f t="shared" si="13"/>
        <v>0.4012822113</v>
      </c>
      <c r="M45" s="118">
        <v>1293.33</v>
      </c>
      <c r="N45" s="36">
        <f t="shared" si="14"/>
        <v>387447.4373</v>
      </c>
    </row>
    <row r="46" ht="14.25" customHeight="1">
      <c r="G46" s="21">
        <v>8.0</v>
      </c>
      <c r="H46" s="82">
        <f>SUM('2024'!H159:L178)</f>
        <v>236747097.4</v>
      </c>
      <c r="I46" s="82">
        <f>SUM('2024'!B159:F178)</f>
        <v>909994053.6</v>
      </c>
      <c r="J46" s="82">
        <f t="shared" si="11"/>
        <v>1146741151</v>
      </c>
      <c r="K46" s="44">
        <f t="shared" si="12"/>
        <v>0.2064520813</v>
      </c>
      <c r="L46" s="44">
        <f t="shared" si="13"/>
        <v>0.7935479187</v>
      </c>
      <c r="M46" s="133">
        <v>1279.96</v>
      </c>
      <c r="N46" s="36">
        <f t="shared" si="14"/>
        <v>895919.5217</v>
      </c>
      <c r="P46" s="2"/>
    </row>
    <row r="47" ht="14.25" customHeight="1">
      <c r="G47" s="21">
        <v>9.0</v>
      </c>
      <c r="H47" s="82">
        <f>SUM('2024'!H184:L202)</f>
        <v>316933154.6</v>
      </c>
      <c r="I47" s="82">
        <f>SUM('2024'!B184:G203)</f>
        <v>234226827.2</v>
      </c>
      <c r="J47" s="82">
        <f t="shared" si="11"/>
        <v>551159981.8</v>
      </c>
      <c r="K47" s="44">
        <f t="shared" si="12"/>
        <v>0.5750293291</v>
      </c>
      <c r="L47" s="44">
        <f t="shared" si="13"/>
        <v>0.4249706709</v>
      </c>
      <c r="M47" s="118">
        <v>1215.03</v>
      </c>
      <c r="N47" s="36">
        <f t="shared" si="14"/>
        <v>453618.4142</v>
      </c>
      <c r="P47" s="2"/>
    </row>
    <row r="48" ht="14.25" customHeight="1">
      <c r="G48" s="21">
        <v>10.0</v>
      </c>
      <c r="H48" s="82">
        <f>SUM('2024'!H209:L229)</f>
        <v>348679040</v>
      </c>
      <c r="I48" s="82">
        <f>SUM('2024'!B209:G229)</f>
        <v>324851686</v>
      </c>
      <c r="J48" s="82">
        <f t="shared" si="11"/>
        <v>673530726</v>
      </c>
      <c r="K48" s="44">
        <f t="shared" si="12"/>
        <v>0.5176883942</v>
      </c>
      <c r="L48" s="44">
        <f t="shared" si="13"/>
        <v>0.4823116058</v>
      </c>
      <c r="M48" s="118">
        <v>1131.46</v>
      </c>
      <c r="N48" s="36">
        <f t="shared" si="14"/>
        <v>595275.7729</v>
      </c>
      <c r="P48" s="2"/>
    </row>
    <row r="49" ht="14.25" customHeight="1">
      <c r="G49" s="21">
        <v>11.0</v>
      </c>
      <c r="H49" s="82">
        <f>SUM('2024'!H233:L253)</f>
        <v>506837340</v>
      </c>
      <c r="I49" s="82">
        <f>SUM('2024'!B233:G253)</f>
        <v>350119111</v>
      </c>
      <c r="J49" s="82">
        <f t="shared" si="11"/>
        <v>856956451</v>
      </c>
      <c r="K49" s="44">
        <f t="shared" si="12"/>
        <v>0.5914388525</v>
      </c>
      <c r="L49" s="44">
        <f t="shared" si="13"/>
        <v>0.4085611475</v>
      </c>
      <c r="M49" s="118">
        <v>1075.76</v>
      </c>
      <c r="N49" s="36">
        <f t="shared" si="14"/>
        <v>796605.61</v>
      </c>
      <c r="P49" s="2"/>
    </row>
    <row r="50" ht="14.25" customHeight="1">
      <c r="G50" s="21">
        <v>12.0</v>
      </c>
      <c r="H50" s="82">
        <f>SUM('2024'!H258:L278)</f>
        <v>260965272</v>
      </c>
      <c r="I50" s="82">
        <f>SUM('2024'!B258:G278)</f>
        <v>323131692</v>
      </c>
      <c r="J50" s="82">
        <f t="shared" si="11"/>
        <v>584096964</v>
      </c>
      <c r="K50" s="44">
        <f t="shared" si="12"/>
        <v>0.446784161</v>
      </c>
      <c r="L50" s="44">
        <f t="shared" si="13"/>
        <v>0.553215839</v>
      </c>
      <c r="M50" s="118">
        <v>1170.41</v>
      </c>
      <c r="N50" s="36">
        <f t="shared" si="14"/>
        <v>499053.2924</v>
      </c>
      <c r="P50" s="2"/>
    </row>
    <row r="51" ht="14.25" customHeight="1">
      <c r="G51" s="26" t="s">
        <v>363</v>
      </c>
      <c r="H51" s="82">
        <f t="shared" ref="H51:I51" si="15">SUM(H39:H49)</f>
        <v>2750856746</v>
      </c>
      <c r="I51" s="82">
        <f t="shared" si="15"/>
        <v>2815062584</v>
      </c>
      <c r="J51" s="82">
        <f t="shared" si="11"/>
        <v>5565919329</v>
      </c>
      <c r="K51" s="44">
        <f t="shared" si="12"/>
        <v>0.4942322342</v>
      </c>
      <c r="L51" s="44">
        <f t="shared" si="13"/>
        <v>0.5057677658</v>
      </c>
      <c r="N51" s="36">
        <f>SUM(N39:N50)</f>
        <v>5226676.303</v>
      </c>
    </row>
    <row r="52" ht="14.25" customHeight="1">
      <c r="G52" s="26"/>
      <c r="H52" s="15"/>
      <c r="I52" s="15"/>
      <c r="J52" s="15"/>
      <c r="K52" s="44"/>
      <c r="L52" s="44"/>
    </row>
    <row r="53" ht="14.25" customHeight="1">
      <c r="G53" s="21">
        <v>2023.0</v>
      </c>
      <c r="H53" s="117"/>
      <c r="K53" s="116" t="s">
        <v>495</v>
      </c>
    </row>
    <row r="54" ht="14.25" customHeight="1">
      <c r="G54" s="26" t="s">
        <v>349</v>
      </c>
      <c r="H54" s="15" t="s">
        <v>350</v>
      </c>
      <c r="I54" s="26" t="s">
        <v>351</v>
      </c>
      <c r="J54" s="21" t="s">
        <v>456</v>
      </c>
      <c r="K54" s="26" t="s">
        <v>350</v>
      </c>
      <c r="L54" s="26" t="s">
        <v>351</v>
      </c>
    </row>
    <row r="55" ht="14.25" customHeight="1">
      <c r="G55" s="21">
        <v>1.0</v>
      </c>
      <c r="H55" s="82">
        <f>SUM('2023'!G19:K19)</f>
        <v>31233893.92</v>
      </c>
      <c r="I55" s="82">
        <f>SUM('2023'!B19:F19)</f>
        <v>21999635.01</v>
      </c>
      <c r="J55" s="82">
        <f t="shared" ref="J55:J66" si="16">SUM(H55:I55)</f>
        <v>53233528.92</v>
      </c>
      <c r="K55" s="44">
        <f t="shared" ref="K55:K66" si="17">H55/J55</f>
        <v>0.5867334845</v>
      </c>
      <c r="L55" s="44">
        <f t="shared" ref="L55:L66" si="18">I55/J55</f>
        <v>0.4132665155</v>
      </c>
      <c r="M55" s="137">
        <v>354.81</v>
      </c>
      <c r="N55" s="36">
        <f t="shared" ref="N55:N66" si="19">J55/M55</f>
        <v>150033.9024</v>
      </c>
      <c r="P55" s="36"/>
    </row>
    <row r="56" ht="14.25" customHeight="1">
      <c r="G56" s="21">
        <v>2.0</v>
      </c>
      <c r="H56" s="82">
        <f>SUM('2023'!G40:K40)</f>
        <v>24990468.96</v>
      </c>
      <c r="I56" s="82">
        <f>SUM('2023'!B40:F40)</f>
        <v>28268626.3</v>
      </c>
      <c r="J56" s="82">
        <f t="shared" si="16"/>
        <v>53259095.26</v>
      </c>
      <c r="K56" s="44">
        <f t="shared" si="17"/>
        <v>0.4692244364</v>
      </c>
      <c r="L56" s="44">
        <f t="shared" si="18"/>
        <v>0.5307755636</v>
      </c>
      <c r="M56" s="118">
        <v>357.47</v>
      </c>
      <c r="N56" s="36">
        <f t="shared" si="19"/>
        <v>148988.9928</v>
      </c>
    </row>
    <row r="57" ht="14.25" customHeight="1">
      <c r="G57" s="21">
        <v>3.0</v>
      </c>
      <c r="H57" s="82">
        <f>SUM('2023'!H44:I60)</f>
        <v>37133761.7</v>
      </c>
      <c r="I57" s="82">
        <f>SUM('2023'!B44:G60)</f>
        <v>30342344.34</v>
      </c>
      <c r="J57" s="82">
        <f t="shared" si="16"/>
        <v>67476106.04</v>
      </c>
      <c r="K57" s="44">
        <f t="shared" si="17"/>
        <v>0.5503246094</v>
      </c>
      <c r="L57" s="44">
        <f t="shared" si="18"/>
        <v>0.4496753906</v>
      </c>
      <c r="M57" s="118">
        <v>397.37</v>
      </c>
      <c r="N57" s="36">
        <f t="shared" si="19"/>
        <v>169806.7444</v>
      </c>
    </row>
    <row r="58" ht="14.25" customHeight="1">
      <c r="G58" s="21">
        <v>4.0</v>
      </c>
      <c r="H58" s="82">
        <f>SUM('2023'!H65:L81)</f>
        <v>35804044.21</v>
      </c>
      <c r="I58" s="82">
        <f>SUM('2023'!B65:G81)</f>
        <v>25795232.59</v>
      </c>
      <c r="J58" s="82">
        <f t="shared" si="16"/>
        <v>61599276.8</v>
      </c>
      <c r="K58" s="44">
        <f t="shared" si="17"/>
        <v>0.5812413078</v>
      </c>
      <c r="L58" s="44">
        <f t="shared" si="18"/>
        <v>0.4187586922</v>
      </c>
      <c r="M58" s="118">
        <v>436.05</v>
      </c>
      <c r="N58" s="36">
        <f t="shared" si="19"/>
        <v>141266.5447</v>
      </c>
    </row>
    <row r="59" ht="14.25" customHeight="1">
      <c r="G59" s="21">
        <v>5.0</v>
      </c>
      <c r="H59" s="82">
        <f>SUM('2023'!H86:K102)</f>
        <v>26569015.79</v>
      </c>
      <c r="I59" s="82">
        <f>SUM('2023'!B86:G102)</f>
        <v>28139408.39</v>
      </c>
      <c r="J59" s="82">
        <f t="shared" si="16"/>
        <v>54708424.18</v>
      </c>
      <c r="K59" s="44">
        <f t="shared" si="17"/>
        <v>0.4856476162</v>
      </c>
      <c r="L59" s="44">
        <f t="shared" si="18"/>
        <v>0.5143523838</v>
      </c>
      <c r="M59" s="118">
        <v>466.98</v>
      </c>
      <c r="N59" s="36">
        <f t="shared" si="19"/>
        <v>117153.6772</v>
      </c>
    </row>
    <row r="60" ht="14.25" customHeight="1">
      <c r="G60" s="21">
        <v>6.0</v>
      </c>
      <c r="H60" s="82">
        <f>SUM('2023'!H107:L123)</f>
        <v>44074134</v>
      </c>
      <c r="I60" s="82">
        <f>SUM('2023'!B107:F123)</f>
        <v>41600996.99</v>
      </c>
      <c r="J60" s="82">
        <f t="shared" si="16"/>
        <v>85675130.99</v>
      </c>
      <c r="K60" s="44">
        <f t="shared" si="17"/>
        <v>0.5144332257</v>
      </c>
      <c r="L60" s="44">
        <f t="shared" si="18"/>
        <v>0.4855667743</v>
      </c>
      <c r="M60" s="118">
        <v>484.69</v>
      </c>
      <c r="N60" s="36">
        <f t="shared" si="19"/>
        <v>176762.737</v>
      </c>
    </row>
    <row r="61" ht="14.25" customHeight="1">
      <c r="G61" s="21">
        <v>7.0</v>
      </c>
      <c r="H61" s="82">
        <f>SUM('2023'!H128:L144)</f>
        <v>40593195.41</v>
      </c>
      <c r="I61" s="82">
        <f>SUM('2023'!B128:F144)</f>
        <v>42163773.72</v>
      </c>
      <c r="J61" s="82">
        <f t="shared" si="16"/>
        <v>82756969.13</v>
      </c>
      <c r="K61" s="44">
        <f t="shared" si="17"/>
        <v>0.4905109</v>
      </c>
      <c r="L61" s="44">
        <f t="shared" si="18"/>
        <v>0.5094891</v>
      </c>
      <c r="M61" s="118">
        <v>509.1</v>
      </c>
      <c r="N61" s="36">
        <f t="shared" si="19"/>
        <v>162555.4294</v>
      </c>
    </row>
    <row r="62" ht="14.25" customHeight="1">
      <c r="G62" s="21">
        <v>8.0</v>
      </c>
      <c r="H62" s="82">
        <f>SUM('2023'!H149:L165)</f>
        <v>39574230.78</v>
      </c>
      <c r="I62" s="82">
        <f>SUM('2023'!B149:G165)</f>
        <v>120225801.8</v>
      </c>
      <c r="J62" s="82">
        <f t="shared" si="16"/>
        <v>159800032.6</v>
      </c>
      <c r="K62" s="44">
        <f t="shared" si="17"/>
        <v>0.2476484525</v>
      </c>
      <c r="L62" s="44">
        <f t="shared" si="18"/>
        <v>0.7523515475</v>
      </c>
      <c r="M62" s="118">
        <v>670.83</v>
      </c>
      <c r="N62" s="36">
        <f t="shared" si="19"/>
        <v>238212.4124</v>
      </c>
    </row>
    <row r="63" ht="14.25" customHeight="1">
      <c r="G63" s="21">
        <v>9.0</v>
      </c>
      <c r="H63" s="82">
        <f>SUM('2023'!H170:L187)</f>
        <v>76006709.27</v>
      </c>
      <c r="I63" s="82">
        <f>SUM('2023'!B170:F187)</f>
        <v>46507761.42</v>
      </c>
      <c r="J63" s="82">
        <f t="shared" si="16"/>
        <v>122514470.7</v>
      </c>
      <c r="K63" s="44">
        <f t="shared" si="17"/>
        <v>0.6203896474</v>
      </c>
      <c r="L63" s="44">
        <f t="shared" si="18"/>
        <v>0.3796103526</v>
      </c>
      <c r="M63" s="118">
        <v>701.01</v>
      </c>
      <c r="N63" s="36">
        <f t="shared" si="19"/>
        <v>174768.5064</v>
      </c>
    </row>
    <row r="64" ht="14.25" customHeight="1">
      <c r="G64" s="21">
        <v>10.0</v>
      </c>
      <c r="H64" s="82">
        <f>SUM('2023'!H192:L209)</f>
        <v>68178504.38</v>
      </c>
      <c r="I64" s="82">
        <f>SUM('2023'!B192:G209)</f>
        <v>56776720.2</v>
      </c>
      <c r="J64" s="82">
        <f t="shared" si="16"/>
        <v>124955224.6</v>
      </c>
      <c r="K64" s="44">
        <f t="shared" si="17"/>
        <v>0.5456234792</v>
      </c>
      <c r="L64" s="44">
        <f t="shared" si="18"/>
        <v>0.4543765208</v>
      </c>
      <c r="M64" s="133">
        <v>852.85</v>
      </c>
      <c r="N64" s="36">
        <f t="shared" si="19"/>
        <v>146514.8908</v>
      </c>
    </row>
    <row r="65" ht="14.25" customHeight="1">
      <c r="G65" s="21">
        <v>11.0</v>
      </c>
      <c r="H65" s="82">
        <f>SUM('2023'!H214:L231)</f>
        <v>61191836.11</v>
      </c>
      <c r="I65" s="82">
        <f>SUM('2023'!B214:G231)</f>
        <v>57405069.87</v>
      </c>
      <c r="J65" s="82">
        <f t="shared" si="16"/>
        <v>118596906</v>
      </c>
      <c r="K65" s="44">
        <f t="shared" si="17"/>
        <v>0.515964861</v>
      </c>
      <c r="L65" s="44">
        <f t="shared" si="18"/>
        <v>0.484035139</v>
      </c>
      <c r="M65" s="118">
        <v>858.82</v>
      </c>
      <c r="N65" s="36">
        <f t="shared" si="19"/>
        <v>138092.8553</v>
      </c>
    </row>
    <row r="66" ht="14.25" customHeight="1">
      <c r="G66" s="21">
        <v>12.0</v>
      </c>
      <c r="H66" s="82">
        <f>SUM('2023'!I236:M253)</f>
        <v>82031953.89</v>
      </c>
      <c r="I66" s="82">
        <f>SUM('2023'!B236:H253)</f>
        <v>61840874.84</v>
      </c>
      <c r="J66" s="82">
        <f t="shared" si="16"/>
        <v>143872828.7</v>
      </c>
      <c r="K66" s="44">
        <f t="shared" si="17"/>
        <v>0.5701698828</v>
      </c>
      <c r="L66" s="44">
        <f t="shared" si="18"/>
        <v>0.4298301172</v>
      </c>
      <c r="M66" s="138">
        <v>995.0</v>
      </c>
      <c r="N66" s="36">
        <f t="shared" si="19"/>
        <v>144595.8078</v>
      </c>
    </row>
    <row r="67" ht="14.25" customHeight="1">
      <c r="G67" s="26" t="s">
        <v>363</v>
      </c>
      <c r="H67" s="36">
        <f t="shared" ref="H67:J67" si="20">SUM(H55:H66)</f>
        <v>567381748.4</v>
      </c>
      <c r="I67" s="36">
        <f t="shared" si="20"/>
        <v>561066245.5</v>
      </c>
      <c r="J67" s="36">
        <f t="shared" si="20"/>
        <v>1128447994</v>
      </c>
      <c r="K67" s="44">
        <f t="shared" ref="K67:L67" si="21">AVERAGE(K55:K66)</f>
        <v>0.5148259919</v>
      </c>
      <c r="L67" s="44">
        <f t="shared" si="21"/>
        <v>0.4851740081</v>
      </c>
      <c r="N67" s="36">
        <f>SUM(N55:N66)</f>
        <v>1908752.501</v>
      </c>
    </row>
    <row r="68" ht="14.25" customHeight="1">
      <c r="G68" s="26"/>
      <c r="K68" s="44"/>
      <c r="L68" s="44"/>
    </row>
    <row r="69" ht="14.25" customHeight="1">
      <c r="G69" s="21">
        <v>2022.0</v>
      </c>
    </row>
    <row r="70" ht="14.25" customHeight="1">
      <c r="G70" s="26" t="s">
        <v>349</v>
      </c>
      <c r="H70" s="15" t="s">
        <v>350</v>
      </c>
      <c r="I70" s="26" t="s">
        <v>351</v>
      </c>
      <c r="K70" s="26" t="s">
        <v>350</v>
      </c>
      <c r="L70" s="26" t="s">
        <v>351</v>
      </c>
    </row>
    <row r="71" ht="14.25" customHeight="1">
      <c r="G71" s="21">
        <v>1.0</v>
      </c>
      <c r="H71" s="82">
        <v>1.227254447E7</v>
      </c>
      <c r="I71" s="36">
        <v>1.2362955499999996E7</v>
      </c>
      <c r="J71" s="36">
        <v>2.463549997E7</v>
      </c>
      <c r="K71" s="44">
        <v>0.4981650254691381</v>
      </c>
      <c r="L71" s="44">
        <v>0.5018349745308618</v>
      </c>
    </row>
    <row r="72" ht="14.25" customHeight="1">
      <c r="G72" s="21">
        <v>2.0</v>
      </c>
      <c r="H72" s="36">
        <v>1.3072100399999999E7</v>
      </c>
      <c r="I72" s="36">
        <v>9625137.659999998</v>
      </c>
      <c r="J72" s="36">
        <v>2.2697238059999995E7</v>
      </c>
      <c r="K72" s="44">
        <v>0.5759335283634066</v>
      </c>
      <c r="L72" s="44">
        <v>0.4240664716365935</v>
      </c>
    </row>
    <row r="73" ht="14.25" customHeight="1">
      <c r="G73" s="21">
        <v>3.0</v>
      </c>
      <c r="H73" s="36">
        <v>1.2391547889999999E7</v>
      </c>
      <c r="I73" s="36">
        <v>1.5989761599999998E7</v>
      </c>
      <c r="J73" s="36">
        <v>2.8381309489999995E7</v>
      </c>
      <c r="K73" s="44">
        <v>0.43660944870658963</v>
      </c>
      <c r="L73" s="44">
        <v>0.5633905512934104</v>
      </c>
    </row>
    <row r="74" ht="14.25" customHeight="1">
      <c r="G74" s="21">
        <v>4.0</v>
      </c>
      <c r="H74" s="36">
        <v>1.282924373E7</v>
      </c>
      <c r="I74" s="36">
        <v>1.8523880620060608E7</v>
      </c>
      <c r="J74" s="36">
        <v>3.135312435006061E7</v>
      </c>
      <c r="K74" s="44">
        <v>0.4091854957343414</v>
      </c>
      <c r="L74" s="44">
        <v>0.5908145042656586</v>
      </c>
    </row>
    <row r="75" ht="14.25" customHeight="1">
      <c r="G75" s="21">
        <v>5.0</v>
      </c>
      <c r="H75" s="82">
        <v>1.5517564290000003E7</v>
      </c>
      <c r="I75" s="82">
        <v>1.7269584667671356E7</v>
      </c>
      <c r="J75" s="36">
        <v>3.278714895767136E7</v>
      </c>
      <c r="K75" s="44">
        <v>0.4732819041397403</v>
      </c>
      <c r="L75" s="44">
        <v>0.5267180958602596</v>
      </c>
    </row>
    <row r="76" ht="14.25" customHeight="1">
      <c r="G76" s="21">
        <v>6.0</v>
      </c>
      <c r="H76" s="82">
        <v>1.846637242E7</v>
      </c>
      <c r="I76" s="82">
        <v>1.4737280640807178E7</v>
      </c>
      <c r="J76" s="36">
        <v>3.320365306080718E7</v>
      </c>
      <c r="K76" s="44">
        <v>0.5561548419441016</v>
      </c>
      <c r="L76" s="44">
        <v>0.4438451580558984</v>
      </c>
    </row>
    <row r="77" ht="14.25" customHeight="1">
      <c r="G77" s="21">
        <v>7.0</v>
      </c>
      <c r="H77" s="82">
        <v>1.5632711020000001E7</v>
      </c>
      <c r="I77" s="82">
        <v>1.955606104505316E7</v>
      </c>
      <c r="J77" s="36">
        <v>3.5188772065053165E7</v>
      </c>
      <c r="K77" s="44">
        <v>0.4442528142527949</v>
      </c>
      <c r="L77" s="44">
        <v>0.555747185747205</v>
      </c>
    </row>
    <row r="78" ht="14.25" customHeight="1">
      <c r="G78" s="21">
        <v>8.0</v>
      </c>
      <c r="H78" s="82">
        <v>2.0751753770000003E7</v>
      </c>
      <c r="I78" s="82">
        <v>1.845479630049999E7</v>
      </c>
      <c r="J78" s="36">
        <v>3.9206550070499994E7</v>
      </c>
      <c r="K78" s="44">
        <v>0.5292930322276469</v>
      </c>
      <c r="L78" s="44">
        <v>0.47070696777235316</v>
      </c>
    </row>
    <row r="79" ht="14.25" customHeight="1">
      <c r="G79" s="21">
        <v>9.0</v>
      </c>
      <c r="H79" s="82">
        <v>2.292631177E7</v>
      </c>
      <c r="I79" s="82">
        <v>2.132792747589999E7</v>
      </c>
      <c r="J79" s="36">
        <v>4.425423924589999E7</v>
      </c>
      <c r="K79" s="44">
        <v>0.5180591093795393</v>
      </c>
      <c r="L79" s="44">
        <v>0.4819408906204608</v>
      </c>
    </row>
    <row r="80" ht="14.25" customHeight="1">
      <c r="G80" s="21">
        <v>10.0</v>
      </c>
      <c r="H80" s="82">
        <v>1.476524941E7</v>
      </c>
      <c r="I80" s="82">
        <v>1.6524653049899988E7</v>
      </c>
      <c r="J80" s="36">
        <v>3.1289902459899988E7</v>
      </c>
      <c r="K80" s="44">
        <v>0.47188544064407395</v>
      </c>
      <c r="L80" s="44">
        <v>0.528114559355926</v>
      </c>
    </row>
    <row r="81" ht="14.25" customHeight="1">
      <c r="G81" s="21">
        <v>11.0</v>
      </c>
      <c r="H81" s="82">
        <v>4.2217147730000034E7</v>
      </c>
      <c r="I81" s="82">
        <v>2.4445373727300003E7</v>
      </c>
      <c r="J81" s="36">
        <v>6.666252145730004E7</v>
      </c>
      <c r="K81" s="44">
        <v>0.6332965931545474</v>
      </c>
      <c r="L81" s="44">
        <v>0.3667034068454525</v>
      </c>
    </row>
    <row r="82" ht="14.25" customHeight="1">
      <c r="G82" s="21">
        <v>12.0</v>
      </c>
      <c r="H82" s="36">
        <v>2.9899408560000017E7</v>
      </c>
      <c r="I82" s="82">
        <v>1.8532854451188758E7</v>
      </c>
      <c r="J82" s="36">
        <v>4.8432263011188775E7</v>
      </c>
      <c r="K82" s="44">
        <v>0.6173448585933861</v>
      </c>
      <c r="L82" s="44">
        <v>0.38265514140661394</v>
      </c>
    </row>
    <row r="83" ht="14.25" customHeight="1">
      <c r="G83" s="26" t="s">
        <v>524</v>
      </c>
      <c r="H83" s="82">
        <f t="shared" ref="H83:J83" si="22">SUM(H71:H82)</f>
        <v>230741955.5</v>
      </c>
      <c r="I83" s="82">
        <f t="shared" si="22"/>
        <v>207350266.7</v>
      </c>
      <c r="J83" s="82">
        <f t="shared" si="22"/>
        <v>438092222.2</v>
      </c>
      <c r="K83" s="44">
        <v>0.5266972198276401</v>
      </c>
      <c r="L83" s="44">
        <v>0.47330278017235994</v>
      </c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</sheetData>
  <mergeCells count="11">
    <mergeCell ref="H37:J37"/>
    <mergeCell ref="K37:L37"/>
    <mergeCell ref="H53:J53"/>
    <mergeCell ref="K53:L53"/>
    <mergeCell ref="G2:G3"/>
    <mergeCell ref="H2:J2"/>
    <mergeCell ref="K2:L2"/>
    <mergeCell ref="G20:G21"/>
    <mergeCell ref="H20:J20"/>
    <mergeCell ref="K20:L20"/>
    <mergeCell ref="G37:G3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0"/>
  </cols>
  <sheetData>
    <row r="2">
      <c r="B2" s="1">
        <v>46030.0</v>
      </c>
      <c r="C2" s="1">
        <v>46037.0</v>
      </c>
      <c r="D2" s="1">
        <v>46045.0</v>
      </c>
      <c r="E2" s="1">
        <v>46046.0</v>
      </c>
      <c r="F2" s="1">
        <v>46049.0</v>
      </c>
      <c r="G2" s="2">
        <v>46052.0</v>
      </c>
      <c r="J2" s="1">
        <v>46027.0</v>
      </c>
      <c r="K2" s="1">
        <v>46038.0</v>
      </c>
      <c r="L2" s="1">
        <v>46052.0</v>
      </c>
      <c r="M2" s="1">
        <v>46049.0</v>
      </c>
      <c r="O2" s="4" t="s">
        <v>4</v>
      </c>
    </row>
    <row r="3">
      <c r="A3" s="5" t="s">
        <v>5</v>
      </c>
      <c r="B3" s="8">
        <v>2155229.0</v>
      </c>
      <c r="C3" s="8">
        <v>4890094.0</v>
      </c>
      <c r="D3" s="8">
        <v>1.4978862E7</v>
      </c>
      <c r="E3" s="7">
        <v>2999837.0</v>
      </c>
      <c r="F3" s="7">
        <v>69911.0</v>
      </c>
      <c r="G3" s="7">
        <v>1471772.0</v>
      </c>
      <c r="J3" s="7">
        <v>226723.0</v>
      </c>
      <c r="K3" s="8">
        <v>1.5473393E7</v>
      </c>
      <c r="L3" s="8">
        <v>1.5177338E7</v>
      </c>
      <c r="M3" s="7">
        <v>293849.0</v>
      </c>
      <c r="O3" s="10">
        <f t="shared" ref="O3:O23" si="1">SUM(B3:M3)</f>
        <v>57737008</v>
      </c>
      <c r="P3" s="12">
        <f t="shared" ref="P3:P23" si="2">O3/$O$3</f>
        <v>1</v>
      </c>
    </row>
    <row r="4">
      <c r="A4" s="5" t="s">
        <v>18</v>
      </c>
      <c r="B4" s="14">
        <v>2155229.0</v>
      </c>
      <c r="C4" s="14">
        <v>4890094.0</v>
      </c>
      <c r="D4" s="14">
        <v>1.4978862E7</v>
      </c>
      <c r="E4" s="7">
        <v>2999837.0</v>
      </c>
      <c r="F4" s="7">
        <v>69911.0</v>
      </c>
      <c r="G4" s="7">
        <v>1471772.0</v>
      </c>
      <c r="J4" s="7">
        <v>226723.0</v>
      </c>
      <c r="K4" s="14">
        <v>1.5473393E7</v>
      </c>
      <c r="L4" s="14">
        <v>1.5177338E7</v>
      </c>
      <c r="M4" s="7">
        <v>293849.0</v>
      </c>
      <c r="O4" s="10">
        <f t="shared" si="1"/>
        <v>57737008</v>
      </c>
      <c r="P4" s="12">
        <f t="shared" si="2"/>
        <v>1</v>
      </c>
    </row>
    <row r="5">
      <c r="A5" s="4" t="s">
        <v>19</v>
      </c>
      <c r="B5" s="14">
        <v>2155229.0</v>
      </c>
      <c r="C5" s="14">
        <v>4890094.0</v>
      </c>
      <c r="D5" s="14">
        <v>1.4978862E7</v>
      </c>
      <c r="E5" s="7">
        <v>2999837.0</v>
      </c>
      <c r="F5" s="7">
        <v>69911.0</v>
      </c>
      <c r="G5" s="7">
        <v>1471772.0</v>
      </c>
      <c r="J5" s="7">
        <v>226723.0</v>
      </c>
      <c r="K5" s="14">
        <v>1.5473393E7</v>
      </c>
      <c r="L5" s="14">
        <v>1.5177338E7</v>
      </c>
      <c r="M5" s="7">
        <v>293849.0</v>
      </c>
      <c r="O5" s="10">
        <f t="shared" si="1"/>
        <v>57737008</v>
      </c>
      <c r="P5" s="12">
        <f t="shared" si="2"/>
        <v>1</v>
      </c>
    </row>
    <row r="6">
      <c r="A6" s="5" t="s">
        <v>20</v>
      </c>
      <c r="B6" s="14">
        <v>2155229.0</v>
      </c>
      <c r="C6" s="14">
        <v>4890094.0</v>
      </c>
      <c r="D6" s="14">
        <v>1.4978862E7</v>
      </c>
      <c r="E6" s="7">
        <v>2999837.0</v>
      </c>
      <c r="F6" s="7">
        <v>69911.0</v>
      </c>
      <c r="G6" s="7">
        <v>1471772.0</v>
      </c>
      <c r="J6" s="7">
        <v>226723.0</v>
      </c>
      <c r="K6" s="14">
        <v>1.5473393E7</v>
      </c>
      <c r="L6" s="14">
        <v>1.5177338E7</v>
      </c>
      <c r="M6" s="7">
        <v>293849.0</v>
      </c>
      <c r="O6" s="10">
        <f t="shared" si="1"/>
        <v>57737008</v>
      </c>
      <c r="P6" s="12">
        <f t="shared" si="2"/>
        <v>1</v>
      </c>
    </row>
    <row r="7">
      <c r="A7" s="5" t="s">
        <v>21</v>
      </c>
      <c r="B7" s="14">
        <v>2155229.0</v>
      </c>
      <c r="C7" s="14">
        <v>4890094.0</v>
      </c>
      <c r="D7" s="14">
        <v>1.4978862E7</v>
      </c>
      <c r="E7" s="7">
        <v>2999837.0</v>
      </c>
      <c r="F7" s="7">
        <v>69911.0</v>
      </c>
      <c r="G7" s="7">
        <v>1471772.0</v>
      </c>
      <c r="J7" s="7">
        <v>226723.0</v>
      </c>
      <c r="K7" s="14">
        <v>1.5473393E7</v>
      </c>
      <c r="L7" s="14">
        <v>1.5177338E7</v>
      </c>
      <c r="M7" s="7">
        <v>293849.0</v>
      </c>
      <c r="O7" s="10">
        <f t="shared" si="1"/>
        <v>57737008</v>
      </c>
      <c r="P7" s="12">
        <f t="shared" si="2"/>
        <v>1</v>
      </c>
    </row>
    <row r="8">
      <c r="A8" s="5" t="s">
        <v>22</v>
      </c>
      <c r="B8" s="14">
        <v>1539449.0</v>
      </c>
      <c r="C8" s="14">
        <v>3492924.0</v>
      </c>
      <c r="D8" s="14">
        <v>1.0699187E7</v>
      </c>
      <c r="E8" s="7">
        <v>2142741.0</v>
      </c>
      <c r="F8" s="7">
        <v>49936.0</v>
      </c>
      <c r="G8" s="7">
        <v>1051266.0</v>
      </c>
      <c r="J8" s="7">
        <v>161945.0</v>
      </c>
      <c r="K8" s="14">
        <v>1.1052424E7</v>
      </c>
      <c r="L8" s="14">
        <v>1.0840956E7</v>
      </c>
      <c r="M8" s="7">
        <v>209892.0</v>
      </c>
      <c r="O8" s="10">
        <f t="shared" si="1"/>
        <v>41240720</v>
      </c>
      <c r="P8" s="12">
        <f t="shared" si="2"/>
        <v>0.7142857143</v>
      </c>
    </row>
    <row r="9">
      <c r="A9" s="5" t="s">
        <v>23</v>
      </c>
      <c r="B9" s="14">
        <v>2155229.0</v>
      </c>
      <c r="C9" s="14">
        <v>4890094.0</v>
      </c>
      <c r="D9" s="14">
        <v>1.4978862E7</v>
      </c>
      <c r="E9" s="7">
        <v>2999837.0</v>
      </c>
      <c r="F9" s="7">
        <v>69911.0</v>
      </c>
      <c r="G9" s="7">
        <v>1471772.0</v>
      </c>
      <c r="J9" s="7">
        <v>226723.0</v>
      </c>
      <c r="K9" s="14">
        <v>1.5473393E7</v>
      </c>
      <c r="L9" s="14">
        <v>1.5177338E7</v>
      </c>
      <c r="M9" s="7">
        <v>293849.0</v>
      </c>
      <c r="O9" s="10">
        <f t="shared" si="1"/>
        <v>57737008</v>
      </c>
      <c r="P9" s="12">
        <f t="shared" si="2"/>
        <v>1</v>
      </c>
    </row>
    <row r="10">
      <c r="A10" s="5" t="s">
        <v>24</v>
      </c>
      <c r="B10" s="14">
        <v>1539449.0</v>
      </c>
      <c r="C10" s="14">
        <v>3492924.0</v>
      </c>
      <c r="D10" s="14">
        <v>1.0699187E7</v>
      </c>
      <c r="E10" s="7">
        <v>2142741.0</v>
      </c>
      <c r="F10" s="7">
        <v>49936.0</v>
      </c>
      <c r="G10" s="7">
        <v>1051266.0</v>
      </c>
      <c r="J10" s="7">
        <v>161945.0</v>
      </c>
      <c r="K10" s="14">
        <v>1.1052424E7</v>
      </c>
      <c r="L10" s="14">
        <v>1.0840956E7</v>
      </c>
      <c r="M10" s="7">
        <v>209892.0</v>
      </c>
      <c r="O10" s="10">
        <f t="shared" si="1"/>
        <v>41240720</v>
      </c>
      <c r="P10" s="12">
        <f t="shared" si="2"/>
        <v>0.7142857143</v>
      </c>
    </row>
    <row r="11">
      <c r="A11" s="5" t="s">
        <v>25</v>
      </c>
      <c r="B11" s="14">
        <v>2155229.0</v>
      </c>
      <c r="C11" s="14">
        <v>4890094.0</v>
      </c>
      <c r="D11" s="14">
        <v>1.4978862E7</v>
      </c>
      <c r="E11" s="7">
        <v>2999837.0</v>
      </c>
      <c r="F11" s="7">
        <v>69911.0</v>
      </c>
      <c r="G11" s="7">
        <v>1471772.0</v>
      </c>
      <c r="J11" s="7">
        <v>226723.0</v>
      </c>
      <c r="K11" s="14">
        <v>1.5473393E7</v>
      </c>
      <c r="L11" s="14">
        <v>1.5177338E7</v>
      </c>
      <c r="M11" s="7">
        <v>293849.0</v>
      </c>
      <c r="O11" s="10">
        <f t="shared" si="1"/>
        <v>57737008</v>
      </c>
      <c r="P11" s="12">
        <f t="shared" si="2"/>
        <v>1</v>
      </c>
    </row>
    <row r="12">
      <c r="A12" s="5" t="s">
        <v>26</v>
      </c>
      <c r="B12" s="14">
        <v>2155229.0</v>
      </c>
      <c r="C12" s="14">
        <v>4890094.0</v>
      </c>
      <c r="D12" s="14">
        <v>1.4978862E7</v>
      </c>
      <c r="E12" s="7">
        <v>2999837.0</v>
      </c>
      <c r="F12" s="7">
        <v>69911.0</v>
      </c>
      <c r="G12" s="7">
        <v>1471772.0</v>
      </c>
      <c r="J12" s="7">
        <v>226723.0</v>
      </c>
      <c r="K12" s="14">
        <v>1.5473393E7</v>
      </c>
      <c r="L12" s="14">
        <v>1.5177338E7</v>
      </c>
      <c r="M12" s="7">
        <v>293849.0</v>
      </c>
      <c r="O12" s="10">
        <f t="shared" si="1"/>
        <v>57737008</v>
      </c>
      <c r="P12" s="12">
        <f t="shared" si="2"/>
        <v>1</v>
      </c>
    </row>
    <row r="13">
      <c r="A13" s="5" t="s">
        <v>27</v>
      </c>
      <c r="B13" s="14">
        <v>2155229.0</v>
      </c>
      <c r="C13" s="14">
        <v>4890094.0</v>
      </c>
      <c r="D13" s="14">
        <v>1.4978862E7</v>
      </c>
      <c r="E13" s="7">
        <v>2999837.0</v>
      </c>
      <c r="F13" s="7">
        <v>69911.0</v>
      </c>
      <c r="G13" s="7">
        <v>1471772.0</v>
      </c>
      <c r="J13" s="7">
        <v>226723.0</v>
      </c>
      <c r="K13" s="14">
        <v>1.5473393E7</v>
      </c>
      <c r="L13" s="14">
        <v>1.5177338E7</v>
      </c>
      <c r="M13" s="7">
        <v>293849.0</v>
      </c>
      <c r="O13" s="10">
        <f t="shared" si="1"/>
        <v>57737008</v>
      </c>
      <c r="P13" s="12">
        <f t="shared" si="2"/>
        <v>1</v>
      </c>
    </row>
    <row r="14">
      <c r="A14" s="5" t="s">
        <v>28</v>
      </c>
      <c r="B14" s="14">
        <v>1724183.0</v>
      </c>
      <c r="C14" s="14">
        <v>3983872.0</v>
      </c>
      <c r="D14" s="14">
        <v>1.1983089E7</v>
      </c>
      <c r="E14" s="7">
        <v>2399870.0</v>
      </c>
      <c r="F14" s="7">
        <v>55929.0</v>
      </c>
      <c r="G14" s="7">
        <v>1177418.0</v>
      </c>
      <c r="J14" s="7">
        <v>181378.0</v>
      </c>
      <c r="K14" s="14">
        <v>1.2378715E7</v>
      </c>
      <c r="L14" s="14">
        <v>1.214187E7</v>
      </c>
      <c r="M14" s="7">
        <v>235079.0</v>
      </c>
      <c r="O14" s="10">
        <f t="shared" si="1"/>
        <v>46261403</v>
      </c>
      <c r="P14" s="12">
        <f t="shared" si="2"/>
        <v>0.8012435109</v>
      </c>
    </row>
    <row r="15">
      <c r="A15" s="5" t="s">
        <v>29</v>
      </c>
      <c r="B15" s="14">
        <v>2155229.0</v>
      </c>
      <c r="C15" s="14">
        <v>4890094.0</v>
      </c>
      <c r="D15" s="14">
        <v>1.4978862E7</v>
      </c>
      <c r="E15" s="7">
        <v>2999837.0</v>
      </c>
      <c r="F15" s="7">
        <v>69911.0</v>
      </c>
      <c r="G15" s="7">
        <v>1471772.0</v>
      </c>
      <c r="J15" s="7">
        <v>226723.0</v>
      </c>
      <c r="K15" s="14">
        <v>1.5473393E7</v>
      </c>
      <c r="L15" s="14">
        <v>1.5177338E7</v>
      </c>
      <c r="M15" s="7">
        <v>293849.0</v>
      </c>
      <c r="O15" s="10">
        <f t="shared" si="1"/>
        <v>57737008</v>
      </c>
      <c r="P15" s="12">
        <f t="shared" si="2"/>
        <v>1</v>
      </c>
    </row>
    <row r="16">
      <c r="A16" s="5" t="s">
        <v>30</v>
      </c>
      <c r="B16" s="14">
        <v>2155229.0</v>
      </c>
      <c r="C16" s="14">
        <v>4890094.0</v>
      </c>
      <c r="D16" s="14">
        <v>1.4978862E7</v>
      </c>
      <c r="E16" s="7">
        <v>2999837.0</v>
      </c>
      <c r="F16" s="7">
        <v>69911.0</v>
      </c>
      <c r="G16" s="7">
        <v>1471772.0</v>
      </c>
      <c r="J16" s="7">
        <v>226723.0</v>
      </c>
      <c r="K16" s="14">
        <v>1.5473393E7</v>
      </c>
      <c r="L16" s="14">
        <v>1.5177338E7</v>
      </c>
      <c r="M16" s="7">
        <v>293849.0</v>
      </c>
      <c r="O16" s="10">
        <f t="shared" si="1"/>
        <v>57737008</v>
      </c>
      <c r="P16" s="12">
        <f t="shared" si="2"/>
        <v>1</v>
      </c>
    </row>
    <row r="17">
      <c r="A17" s="5" t="s">
        <v>31</v>
      </c>
      <c r="B17" s="14">
        <v>1939706.0</v>
      </c>
      <c r="C17" s="14">
        <v>4401084.0</v>
      </c>
      <c r="D17" s="14">
        <v>1.3480975E7</v>
      </c>
      <c r="E17" s="7">
        <v>2699854.0</v>
      </c>
      <c r="F17" s="7">
        <v>62920.0</v>
      </c>
      <c r="G17" s="7">
        <v>1324595.0</v>
      </c>
      <c r="J17" s="7">
        <v>204050.0</v>
      </c>
      <c r="K17" s="14">
        <v>1.3926054E7</v>
      </c>
      <c r="L17" s="14">
        <v>1.3659604E7</v>
      </c>
      <c r="M17" s="7">
        <v>264464.0</v>
      </c>
      <c r="O17" s="10">
        <f t="shared" si="1"/>
        <v>51963306</v>
      </c>
      <c r="P17" s="12">
        <f t="shared" si="2"/>
        <v>0.8999999792</v>
      </c>
    </row>
    <row r="18">
      <c r="A18" s="5" t="s">
        <v>32</v>
      </c>
      <c r="B18" s="14">
        <v>2155229.0</v>
      </c>
      <c r="C18" s="14">
        <v>4890094.0</v>
      </c>
      <c r="D18" s="14">
        <v>1.4978862E7</v>
      </c>
      <c r="E18" s="7">
        <v>2999837.0</v>
      </c>
      <c r="F18" s="7">
        <v>69911.0</v>
      </c>
      <c r="G18" s="7">
        <v>1471772.0</v>
      </c>
      <c r="J18" s="7">
        <v>226723.0</v>
      </c>
      <c r="K18" s="14">
        <v>1.5473393E7</v>
      </c>
      <c r="L18" s="14">
        <v>1.5177338E7</v>
      </c>
      <c r="M18" s="7">
        <v>293849.0</v>
      </c>
      <c r="O18" s="10">
        <f t="shared" si="1"/>
        <v>57737008</v>
      </c>
      <c r="P18" s="12">
        <f t="shared" si="2"/>
        <v>1</v>
      </c>
    </row>
    <row r="19">
      <c r="A19" s="4" t="s">
        <v>33</v>
      </c>
      <c r="B19" s="14">
        <v>2155229.0</v>
      </c>
      <c r="C19" s="14">
        <v>4172118.0</v>
      </c>
      <c r="D19" s="14">
        <v>1.4978862E7</v>
      </c>
      <c r="E19" s="7">
        <v>2999837.0</v>
      </c>
      <c r="F19" s="7">
        <v>69911.0</v>
      </c>
      <c r="G19" s="7">
        <v>1471772.0</v>
      </c>
      <c r="J19" s="7">
        <v>226723.0</v>
      </c>
      <c r="K19" s="14">
        <v>1.5473393E7</v>
      </c>
      <c r="L19" s="14">
        <v>1.5177338E7</v>
      </c>
      <c r="M19" s="7">
        <v>293849.0</v>
      </c>
      <c r="O19" s="10">
        <f t="shared" si="1"/>
        <v>57019032</v>
      </c>
      <c r="P19" s="12">
        <f t="shared" si="2"/>
        <v>0.9875647176</v>
      </c>
    </row>
    <row r="20">
      <c r="A20" s="5" t="s">
        <v>34</v>
      </c>
      <c r="B20" s="14">
        <v>2155229.0</v>
      </c>
      <c r="C20" s="14">
        <v>4890094.0</v>
      </c>
      <c r="D20" s="14">
        <v>1.4978862E7</v>
      </c>
      <c r="E20" s="7">
        <v>2999837.0</v>
      </c>
      <c r="F20" s="7">
        <v>69911.0</v>
      </c>
      <c r="G20" s="7">
        <v>1471772.0</v>
      </c>
      <c r="J20" s="7">
        <v>226723.0</v>
      </c>
      <c r="K20" s="14">
        <v>1.5473393E7</v>
      </c>
      <c r="L20" s="14">
        <v>1.5177338E7</v>
      </c>
      <c r="M20" s="7">
        <v>293849.0</v>
      </c>
      <c r="O20" s="10">
        <f t="shared" si="1"/>
        <v>57737008</v>
      </c>
      <c r="P20" s="12">
        <f t="shared" si="2"/>
        <v>1</v>
      </c>
    </row>
    <row r="21">
      <c r="A21" s="5" t="s">
        <v>35</v>
      </c>
      <c r="B21" s="14">
        <v>1724183.0</v>
      </c>
      <c r="C21" s="14">
        <v>3950127.0</v>
      </c>
      <c r="D21" s="14">
        <v>1.1983089E7</v>
      </c>
      <c r="E21" s="7">
        <v>2399870.0</v>
      </c>
      <c r="F21" s="7">
        <v>55929.0</v>
      </c>
      <c r="G21" s="7">
        <v>1177418.0</v>
      </c>
      <c r="J21" s="7">
        <v>181378.0</v>
      </c>
      <c r="K21" s="14">
        <v>1.2378715E7</v>
      </c>
      <c r="L21" s="14">
        <v>1.214187E7</v>
      </c>
      <c r="M21" s="7">
        <v>235079.0</v>
      </c>
      <c r="O21" s="10">
        <f t="shared" si="1"/>
        <v>46227658</v>
      </c>
      <c r="P21" s="12">
        <f t="shared" si="2"/>
        <v>0.8006590504</v>
      </c>
    </row>
    <row r="22">
      <c r="A22" s="5" t="s">
        <v>36</v>
      </c>
      <c r="B22" s="14">
        <v>2155229.0</v>
      </c>
      <c r="C22" s="14">
        <v>4890094.0</v>
      </c>
      <c r="D22" s="14">
        <v>1.4978862E7</v>
      </c>
      <c r="E22" s="7">
        <v>2999837.0</v>
      </c>
      <c r="F22" s="7">
        <v>69911.0</v>
      </c>
      <c r="G22" s="7">
        <v>1471772.0</v>
      </c>
      <c r="J22" s="7">
        <v>226723.0</v>
      </c>
      <c r="K22" s="14">
        <v>1.5473393E7</v>
      </c>
      <c r="L22" s="14">
        <v>1.5177338E7</v>
      </c>
      <c r="M22" s="7">
        <v>293849.0</v>
      </c>
      <c r="O22" s="10">
        <f t="shared" si="1"/>
        <v>57737008</v>
      </c>
      <c r="P22" s="12">
        <f t="shared" si="2"/>
        <v>1</v>
      </c>
    </row>
    <row r="23">
      <c r="A23" s="4" t="s">
        <v>37</v>
      </c>
      <c r="B23" s="14">
        <v>2155229.0</v>
      </c>
      <c r="C23" s="14">
        <v>4172118.0</v>
      </c>
      <c r="D23" s="14">
        <v>1.4978862E7</v>
      </c>
      <c r="E23" s="7">
        <v>2999837.0</v>
      </c>
      <c r="F23" s="7">
        <v>69911.0</v>
      </c>
      <c r="G23" s="7">
        <v>1471772.0</v>
      </c>
      <c r="J23" s="7">
        <v>226723.0</v>
      </c>
      <c r="K23" s="14">
        <v>1.5473393E7</v>
      </c>
      <c r="L23" s="14">
        <v>1.5177338E7</v>
      </c>
      <c r="M23" s="7">
        <v>293849.0</v>
      </c>
      <c r="O23" s="10">
        <f t="shared" si="1"/>
        <v>57019032</v>
      </c>
      <c r="P23" s="12">
        <f t="shared" si="2"/>
        <v>0.9875647176</v>
      </c>
    </row>
    <row r="26">
      <c r="B26" s="1">
        <v>46059.0</v>
      </c>
      <c r="C26" s="1">
        <v>46066.0</v>
      </c>
      <c r="D26" s="1">
        <v>46073.0</v>
      </c>
      <c r="E26" s="1">
        <v>46080.0</v>
      </c>
      <c r="F26" s="1"/>
      <c r="G26" s="2"/>
      <c r="J26" s="1">
        <v>46058.0</v>
      </c>
      <c r="K26" s="1">
        <v>46066.0</v>
      </c>
      <c r="L26" s="1">
        <v>46079.0</v>
      </c>
      <c r="M26" s="1">
        <v>46080.0</v>
      </c>
      <c r="O26" s="4" t="s">
        <v>4</v>
      </c>
    </row>
    <row r="27">
      <c r="A27" s="5" t="s">
        <v>5</v>
      </c>
      <c r="B27" s="8">
        <v>1978126.0</v>
      </c>
      <c r="C27" s="8">
        <v>2681374.0</v>
      </c>
      <c r="D27" s="23">
        <v>6539824.0</v>
      </c>
      <c r="E27" s="8">
        <v>1.3113633E7</v>
      </c>
      <c r="F27" s="7"/>
      <c r="G27" s="7"/>
      <c r="J27" s="8">
        <v>269636.0</v>
      </c>
      <c r="K27" s="8">
        <v>5485195.0</v>
      </c>
      <c r="L27" s="8">
        <v>260447.0</v>
      </c>
      <c r="M27" s="8">
        <v>1.4354913E7</v>
      </c>
      <c r="O27" s="10">
        <f t="shared" ref="O27:O47" si="3">SUM(B27:M27)</f>
        <v>44683148</v>
      </c>
      <c r="P27" s="12">
        <f t="shared" ref="P27:P47" si="4">O27/$O$27</f>
        <v>1</v>
      </c>
    </row>
    <row r="28">
      <c r="A28" s="5" t="s">
        <v>18</v>
      </c>
      <c r="B28" s="14">
        <v>1978126.0</v>
      </c>
      <c r="C28" s="14">
        <v>2681374.0</v>
      </c>
      <c r="D28" s="23">
        <v>6539824.0</v>
      </c>
      <c r="E28" s="14">
        <v>1.3113633E7</v>
      </c>
      <c r="F28" s="7"/>
      <c r="G28" s="7"/>
      <c r="J28" s="14">
        <v>269636.0</v>
      </c>
      <c r="K28" s="14">
        <v>5485195.0</v>
      </c>
      <c r="L28" s="14">
        <v>260447.0</v>
      </c>
      <c r="M28" s="14">
        <v>1.4354913E7</v>
      </c>
      <c r="O28" s="10">
        <f t="shared" si="3"/>
        <v>44683148</v>
      </c>
      <c r="P28" s="12">
        <f t="shared" si="4"/>
        <v>1</v>
      </c>
    </row>
    <row r="29">
      <c r="A29" s="4" t="s">
        <v>19</v>
      </c>
      <c r="B29" s="14">
        <v>1978126.0</v>
      </c>
      <c r="C29" s="14">
        <v>2681374.0</v>
      </c>
      <c r="D29" s="23">
        <v>6539824.0</v>
      </c>
      <c r="E29" s="14">
        <v>1.3113633E7</v>
      </c>
      <c r="F29" s="7"/>
      <c r="G29" s="7"/>
      <c r="J29" s="14">
        <v>269636.0</v>
      </c>
      <c r="K29" s="14">
        <v>5485195.0</v>
      </c>
      <c r="L29" s="14">
        <v>260447.0</v>
      </c>
      <c r="M29" s="14">
        <v>1.4354913E7</v>
      </c>
      <c r="O29" s="10">
        <f t="shared" si="3"/>
        <v>44683148</v>
      </c>
      <c r="P29" s="12">
        <f t="shared" si="4"/>
        <v>1</v>
      </c>
    </row>
    <row r="30">
      <c r="A30" s="5" t="s">
        <v>20</v>
      </c>
      <c r="B30" s="14">
        <v>1978126.0</v>
      </c>
      <c r="C30" s="14">
        <v>2681374.0</v>
      </c>
      <c r="D30" s="23">
        <v>6539824.0</v>
      </c>
      <c r="E30" s="14">
        <v>1.3113633E7</v>
      </c>
      <c r="F30" s="7"/>
      <c r="G30" s="7"/>
      <c r="J30" s="14">
        <v>269636.0</v>
      </c>
      <c r="K30" s="14">
        <v>5485195.0</v>
      </c>
      <c r="L30" s="14">
        <v>260447.0</v>
      </c>
      <c r="M30" s="14">
        <v>1.4354913E7</v>
      </c>
      <c r="O30" s="10">
        <f t="shared" si="3"/>
        <v>44683148</v>
      </c>
      <c r="P30" s="12">
        <f t="shared" si="4"/>
        <v>1</v>
      </c>
    </row>
    <row r="31">
      <c r="A31" s="5" t="s">
        <v>21</v>
      </c>
      <c r="B31" s="14">
        <v>1978126.0</v>
      </c>
      <c r="C31" s="14">
        <v>2681374.0</v>
      </c>
      <c r="D31" s="23">
        <v>6539824.0</v>
      </c>
      <c r="E31" s="14">
        <v>1.3113633E7</v>
      </c>
      <c r="F31" s="7"/>
      <c r="G31" s="7"/>
      <c r="J31" s="14">
        <v>269636.0</v>
      </c>
      <c r="K31" s="14">
        <v>5485195.0</v>
      </c>
      <c r="L31" s="14">
        <v>260447.0</v>
      </c>
      <c r="M31" s="14">
        <v>1.4354913E7</v>
      </c>
      <c r="O31" s="10">
        <f t="shared" si="3"/>
        <v>44683148</v>
      </c>
      <c r="P31" s="12">
        <f t="shared" si="4"/>
        <v>1</v>
      </c>
    </row>
    <row r="32">
      <c r="A32" s="5" t="s">
        <v>22</v>
      </c>
      <c r="B32" s="14">
        <v>1412947.0</v>
      </c>
      <c r="C32" s="14">
        <v>1915267.0</v>
      </c>
      <c r="D32" s="23">
        <v>4671303.0</v>
      </c>
      <c r="E32" s="14">
        <v>9366881.0</v>
      </c>
      <c r="F32" s="7"/>
      <c r="G32" s="7"/>
      <c r="J32" s="14">
        <v>179757.0</v>
      </c>
      <c r="K32" s="14">
        <v>3917996.0</v>
      </c>
      <c r="L32" s="14">
        <v>173631.0</v>
      </c>
      <c r="M32" s="14">
        <v>9796181.0</v>
      </c>
      <c r="O32" s="10">
        <f t="shared" si="3"/>
        <v>31433963</v>
      </c>
      <c r="P32" s="12">
        <f t="shared" si="4"/>
        <v>0.7034858645</v>
      </c>
    </row>
    <row r="33">
      <c r="A33" s="5" t="s">
        <v>23</v>
      </c>
      <c r="B33" s="14">
        <v>1978126.0</v>
      </c>
      <c r="C33" s="14">
        <v>2681374.0</v>
      </c>
      <c r="D33" s="23">
        <v>6539824.0</v>
      </c>
      <c r="E33" s="14">
        <v>1.3113633E7</v>
      </c>
      <c r="F33" s="7"/>
      <c r="G33" s="7"/>
      <c r="J33" s="14">
        <v>269636.0</v>
      </c>
      <c r="K33" s="14">
        <v>5485195.0</v>
      </c>
      <c r="L33" s="14">
        <v>260447.0</v>
      </c>
      <c r="M33" s="14">
        <v>1.4354913E7</v>
      </c>
      <c r="O33" s="10">
        <f t="shared" si="3"/>
        <v>44683148</v>
      </c>
      <c r="P33" s="12">
        <f t="shared" si="4"/>
        <v>1</v>
      </c>
    </row>
    <row r="34">
      <c r="A34" s="5" t="s">
        <v>24</v>
      </c>
      <c r="B34" s="14">
        <v>1412947.0</v>
      </c>
      <c r="C34" s="14">
        <v>1915267.0</v>
      </c>
      <c r="D34" s="23">
        <v>4671303.0</v>
      </c>
      <c r="E34" s="14">
        <v>9366881.0</v>
      </c>
      <c r="F34" s="7"/>
      <c r="G34" s="7"/>
      <c r="J34" s="14">
        <v>179757.0</v>
      </c>
      <c r="K34" s="14">
        <v>3917996.0</v>
      </c>
      <c r="L34" s="14">
        <v>173631.0</v>
      </c>
      <c r="M34" s="14">
        <v>9796181.0</v>
      </c>
      <c r="O34" s="10">
        <f t="shared" si="3"/>
        <v>31433963</v>
      </c>
      <c r="P34" s="12">
        <f t="shared" si="4"/>
        <v>0.7034858645</v>
      </c>
    </row>
    <row r="35">
      <c r="A35" s="5" t="s">
        <v>25</v>
      </c>
      <c r="B35" s="14">
        <v>1978126.0</v>
      </c>
      <c r="C35" s="14">
        <v>2681374.0</v>
      </c>
      <c r="D35" s="23">
        <v>6539824.0</v>
      </c>
      <c r="E35" s="14">
        <v>1.3113633E7</v>
      </c>
      <c r="F35" s="7"/>
      <c r="G35" s="7"/>
      <c r="J35" s="14">
        <v>269636.0</v>
      </c>
      <c r="K35" s="14">
        <v>5485195.0</v>
      </c>
      <c r="L35" s="14">
        <v>260447.0</v>
      </c>
      <c r="M35" s="14">
        <v>1.4354913E7</v>
      </c>
      <c r="O35" s="10">
        <f t="shared" si="3"/>
        <v>44683148</v>
      </c>
      <c r="P35" s="12">
        <f t="shared" si="4"/>
        <v>1</v>
      </c>
    </row>
    <row r="36">
      <c r="A36" s="5" t="s">
        <v>26</v>
      </c>
      <c r="B36" s="14">
        <v>1978126.0</v>
      </c>
      <c r="C36" s="14">
        <v>2681374.0</v>
      </c>
      <c r="D36" s="23">
        <v>6539824.0</v>
      </c>
      <c r="E36" s="14">
        <v>1.3113633E7</v>
      </c>
      <c r="F36" s="7"/>
      <c r="G36" s="7"/>
      <c r="J36" s="14">
        <v>269636.0</v>
      </c>
      <c r="K36" s="14">
        <v>5485195.0</v>
      </c>
      <c r="L36" s="14">
        <v>260447.0</v>
      </c>
      <c r="M36" s="14">
        <v>1.4354913E7</v>
      </c>
      <c r="O36" s="10">
        <f t="shared" si="3"/>
        <v>44683148</v>
      </c>
      <c r="P36" s="12">
        <f t="shared" si="4"/>
        <v>1</v>
      </c>
    </row>
    <row r="37">
      <c r="A37" s="5" t="s">
        <v>27</v>
      </c>
      <c r="B37" s="14">
        <v>1978126.0</v>
      </c>
      <c r="C37" s="14">
        <v>2681374.0</v>
      </c>
      <c r="D37" s="23">
        <v>6539824.0</v>
      </c>
      <c r="E37" s="14">
        <v>1.3113633E7</v>
      </c>
      <c r="F37" s="7"/>
      <c r="G37" s="7"/>
      <c r="J37" s="14">
        <v>269636.0</v>
      </c>
      <c r="K37" s="14">
        <v>5485195.0</v>
      </c>
      <c r="L37" s="14">
        <v>260447.0</v>
      </c>
      <c r="M37" s="14">
        <v>1.4354913E7</v>
      </c>
      <c r="O37" s="10">
        <f t="shared" si="3"/>
        <v>44683148</v>
      </c>
      <c r="P37" s="12">
        <f t="shared" si="4"/>
        <v>1</v>
      </c>
    </row>
    <row r="38">
      <c r="A38" s="5" t="s">
        <v>28</v>
      </c>
      <c r="B38" s="14">
        <v>1582501.0</v>
      </c>
      <c r="C38" s="14">
        <v>2145099.0</v>
      </c>
      <c r="D38" s="23">
        <v>5231859.0</v>
      </c>
      <c r="E38" s="14">
        <v>1.0490907E7</v>
      </c>
      <c r="F38" s="7"/>
      <c r="G38" s="7"/>
      <c r="J38" s="14">
        <v>188745.0</v>
      </c>
      <c r="K38" s="14">
        <v>4393036.0</v>
      </c>
      <c r="L38" s="14">
        <v>182313.0</v>
      </c>
      <c r="M38" s="14">
        <v>1.052354E7</v>
      </c>
      <c r="O38" s="10">
        <f t="shared" si="3"/>
        <v>34738000</v>
      </c>
      <c r="P38" s="12">
        <f t="shared" si="4"/>
        <v>0.777429558</v>
      </c>
    </row>
    <row r="39">
      <c r="A39" s="5" t="s">
        <v>29</v>
      </c>
      <c r="B39" s="14">
        <v>1978126.0</v>
      </c>
      <c r="C39" s="14">
        <v>2681374.0</v>
      </c>
      <c r="D39" s="23">
        <v>6539824.0</v>
      </c>
      <c r="E39" s="14">
        <v>1.3113633E7</v>
      </c>
      <c r="F39" s="7"/>
      <c r="G39" s="7"/>
      <c r="J39" s="14">
        <v>269636.0</v>
      </c>
      <c r="K39" s="14">
        <v>5485195.0</v>
      </c>
      <c r="L39" s="14">
        <v>260447.0</v>
      </c>
      <c r="M39" s="14">
        <v>1.4354913E7</v>
      </c>
      <c r="O39" s="10">
        <f t="shared" si="3"/>
        <v>44683148</v>
      </c>
      <c r="P39" s="12">
        <f t="shared" si="4"/>
        <v>1</v>
      </c>
    </row>
    <row r="40">
      <c r="A40" s="5" t="s">
        <v>30</v>
      </c>
      <c r="B40" s="14">
        <v>1978126.0</v>
      </c>
      <c r="C40" s="14">
        <v>2681374.0</v>
      </c>
      <c r="D40" s="23">
        <v>6539824.0</v>
      </c>
      <c r="E40" s="14">
        <v>1.3113633E7</v>
      </c>
      <c r="F40" s="7"/>
      <c r="G40" s="7"/>
      <c r="J40" s="14">
        <v>269636.0</v>
      </c>
      <c r="K40" s="14">
        <v>5485195.0</v>
      </c>
      <c r="L40" s="14">
        <v>260447.0</v>
      </c>
      <c r="M40" s="14">
        <v>1.4354913E7</v>
      </c>
      <c r="O40" s="10">
        <f t="shared" si="3"/>
        <v>44683148</v>
      </c>
      <c r="P40" s="12">
        <f t="shared" si="4"/>
        <v>1</v>
      </c>
    </row>
    <row r="41">
      <c r="A41" s="5" t="s">
        <v>31</v>
      </c>
      <c r="B41" s="14">
        <v>1780313.0</v>
      </c>
      <c r="C41" s="14">
        <v>2413237.0</v>
      </c>
      <c r="D41" s="23">
        <v>5885842.0</v>
      </c>
      <c r="E41" s="14">
        <v>1.180227E7</v>
      </c>
      <c r="F41" s="7"/>
      <c r="G41" s="7"/>
      <c r="J41" s="14">
        <v>229190.0</v>
      </c>
      <c r="K41" s="14">
        <v>4936676.0</v>
      </c>
      <c r="L41" s="14">
        <v>221380.0</v>
      </c>
      <c r="M41" s="14">
        <v>1.2439227E7</v>
      </c>
      <c r="O41" s="10">
        <f t="shared" si="3"/>
        <v>39708135</v>
      </c>
      <c r="P41" s="12">
        <f t="shared" si="4"/>
        <v>0.8886601947</v>
      </c>
    </row>
    <row r="42">
      <c r="A42" s="5" t="s">
        <v>32</v>
      </c>
      <c r="B42" s="14">
        <v>1978126.0</v>
      </c>
      <c r="C42" s="14">
        <v>2681374.0</v>
      </c>
      <c r="D42" s="23">
        <v>6539824.0</v>
      </c>
      <c r="E42" s="14">
        <v>1.3113633E7</v>
      </c>
      <c r="F42" s="7"/>
      <c r="G42" s="7"/>
      <c r="J42" s="14">
        <v>269636.0</v>
      </c>
      <c r="K42" s="14">
        <v>5485195.0</v>
      </c>
      <c r="L42" s="14">
        <v>260447.0</v>
      </c>
      <c r="M42" s="14">
        <v>1.4354913E7</v>
      </c>
      <c r="O42" s="10">
        <f t="shared" si="3"/>
        <v>44683148</v>
      </c>
      <c r="P42" s="12">
        <f t="shared" si="4"/>
        <v>1</v>
      </c>
    </row>
    <row r="43">
      <c r="A43" s="4" t="s">
        <v>33</v>
      </c>
      <c r="B43" s="14">
        <v>1978126.0</v>
      </c>
      <c r="C43" s="14">
        <v>2681374.0</v>
      </c>
      <c r="D43" s="23">
        <v>6539824.0</v>
      </c>
      <c r="E43" s="14">
        <v>1.3113633E7</v>
      </c>
      <c r="F43" s="7"/>
      <c r="G43" s="7"/>
      <c r="J43" s="14">
        <v>269636.0</v>
      </c>
      <c r="K43" s="14">
        <v>5478223.0</v>
      </c>
      <c r="L43" s="14">
        <v>260447.0</v>
      </c>
      <c r="M43" s="14">
        <v>1.4354913E7</v>
      </c>
      <c r="O43" s="10">
        <f t="shared" si="3"/>
        <v>44676176</v>
      </c>
      <c r="P43" s="12">
        <f t="shared" si="4"/>
        <v>0.999843968</v>
      </c>
    </row>
    <row r="44">
      <c r="A44" s="5" t="s">
        <v>34</v>
      </c>
      <c r="B44" s="14">
        <v>1978126.0</v>
      </c>
      <c r="C44" s="14">
        <v>2681374.0</v>
      </c>
      <c r="D44" s="23">
        <v>6539824.0</v>
      </c>
      <c r="E44" s="14">
        <v>1.3113633E7</v>
      </c>
      <c r="F44" s="7"/>
      <c r="G44" s="7"/>
      <c r="J44" s="14">
        <v>269636.0</v>
      </c>
      <c r="K44" s="14">
        <v>5485195.0</v>
      </c>
      <c r="L44" s="14">
        <v>260447.0</v>
      </c>
      <c r="M44" s="14">
        <v>1.4354913E7</v>
      </c>
      <c r="O44" s="10">
        <f t="shared" si="3"/>
        <v>44683148</v>
      </c>
      <c r="P44" s="12">
        <f t="shared" si="4"/>
        <v>1</v>
      </c>
    </row>
    <row r="45">
      <c r="A45" s="5" t="s">
        <v>35</v>
      </c>
      <c r="B45" s="14">
        <v>1582501.0</v>
      </c>
      <c r="C45" s="14">
        <v>2145099.0</v>
      </c>
      <c r="D45" s="23">
        <v>5231859.0</v>
      </c>
      <c r="E45" s="14">
        <v>1.0490907E7</v>
      </c>
      <c r="F45" s="7"/>
      <c r="G45" s="7"/>
      <c r="J45" s="14">
        <v>188745.0</v>
      </c>
      <c r="K45" s="14">
        <v>4388156.0</v>
      </c>
      <c r="L45" s="14">
        <v>182313.0</v>
      </c>
      <c r="M45" s="14">
        <v>1.052354E7</v>
      </c>
      <c r="O45" s="10">
        <f t="shared" si="3"/>
        <v>34733120</v>
      </c>
      <c r="P45" s="12">
        <f t="shared" si="4"/>
        <v>0.7773203446</v>
      </c>
    </row>
    <row r="46">
      <c r="A46" s="5" t="s">
        <v>36</v>
      </c>
      <c r="B46" s="14">
        <v>1978126.0</v>
      </c>
      <c r="C46" s="14">
        <v>2681374.0</v>
      </c>
      <c r="D46" s="23">
        <v>6539824.0</v>
      </c>
      <c r="E46" s="14">
        <v>1.3113633E7</v>
      </c>
      <c r="F46" s="7"/>
      <c r="G46" s="7"/>
      <c r="J46" s="14">
        <v>269636.0</v>
      </c>
      <c r="K46" s="14">
        <v>5485195.0</v>
      </c>
      <c r="L46" s="14">
        <v>260447.0</v>
      </c>
      <c r="M46" s="14">
        <v>1.4354913E7</v>
      </c>
      <c r="O46" s="10">
        <f t="shared" si="3"/>
        <v>44683148</v>
      </c>
      <c r="P46" s="12">
        <f t="shared" si="4"/>
        <v>1</v>
      </c>
    </row>
    <row r="47">
      <c r="A47" s="4" t="s">
        <v>37</v>
      </c>
      <c r="B47" s="14">
        <v>1978126.0</v>
      </c>
      <c r="C47" s="14">
        <v>2681374.0</v>
      </c>
      <c r="D47" s="23">
        <v>6539824.0</v>
      </c>
      <c r="E47" s="14">
        <v>1.3113633E7</v>
      </c>
      <c r="F47" s="7"/>
      <c r="G47" s="7"/>
      <c r="J47" s="14">
        <v>269636.0</v>
      </c>
      <c r="K47" s="14">
        <v>5478223.0</v>
      </c>
      <c r="L47" s="14">
        <v>260447.0</v>
      </c>
      <c r="M47" s="14">
        <v>1.4354913E7</v>
      </c>
      <c r="O47" s="10">
        <f t="shared" si="3"/>
        <v>44676176</v>
      </c>
      <c r="P47" s="12">
        <f t="shared" si="4"/>
        <v>0.999843968</v>
      </c>
    </row>
    <row r="50">
      <c r="B50" s="24">
        <v>46087.0</v>
      </c>
      <c r="C50" s="24">
        <v>46094.0</v>
      </c>
      <c r="D50" s="24">
        <v>46101.0</v>
      </c>
      <c r="E50" s="24">
        <v>46108.0</v>
      </c>
      <c r="J50" s="24">
        <v>46086.0</v>
      </c>
      <c r="K50" s="24">
        <v>46097.0</v>
      </c>
      <c r="L50" s="1">
        <v>46107.0</v>
      </c>
      <c r="M50" s="1">
        <v>46108.0</v>
      </c>
      <c r="O50" s="4" t="s">
        <v>4</v>
      </c>
    </row>
    <row r="51">
      <c r="A51" s="5" t="s">
        <v>5</v>
      </c>
      <c r="B51" s="8">
        <v>3165356.0</v>
      </c>
      <c r="C51" s="7">
        <v>2521313.0</v>
      </c>
      <c r="D51" s="7">
        <v>9057207.0</v>
      </c>
      <c r="E51" s="7">
        <v>2830726.0</v>
      </c>
      <c r="J51" s="8">
        <v>306197.0</v>
      </c>
      <c r="K51" s="8">
        <v>7947194.0</v>
      </c>
      <c r="L51" s="8">
        <v>38730.0</v>
      </c>
      <c r="M51" s="7">
        <v>9916005.0</v>
      </c>
      <c r="O51" s="10">
        <f t="shared" ref="O51:O71" si="5">SUM(B51:M51)</f>
        <v>35782728</v>
      </c>
      <c r="P51" s="12">
        <f t="shared" ref="P51:P71" si="6">O51/$O$51</f>
        <v>1</v>
      </c>
    </row>
    <row r="52">
      <c r="A52" s="5" t="s">
        <v>18</v>
      </c>
      <c r="B52" s="14">
        <v>3165356.0</v>
      </c>
      <c r="C52" s="7">
        <v>2521313.0</v>
      </c>
      <c r="D52" s="7">
        <v>9057207.0</v>
      </c>
      <c r="E52" s="7">
        <v>2830726.0</v>
      </c>
      <c r="J52" s="14">
        <v>306197.0</v>
      </c>
      <c r="K52" s="14">
        <v>7947194.0</v>
      </c>
      <c r="L52" s="14">
        <v>38730.0</v>
      </c>
      <c r="M52" s="7">
        <v>9916005.0</v>
      </c>
      <c r="O52" s="10">
        <f t="shared" si="5"/>
        <v>35782728</v>
      </c>
      <c r="P52" s="12">
        <f t="shared" si="6"/>
        <v>1</v>
      </c>
    </row>
    <row r="53">
      <c r="A53" s="4" t="s">
        <v>19</v>
      </c>
      <c r="B53" s="14">
        <v>3165356.0</v>
      </c>
      <c r="C53" s="7">
        <v>2521313.0</v>
      </c>
      <c r="D53" s="7">
        <v>9057207.0</v>
      </c>
      <c r="E53" s="7">
        <v>2830726.0</v>
      </c>
      <c r="J53" s="14">
        <v>306197.0</v>
      </c>
      <c r="K53" s="14">
        <v>7947194.0</v>
      </c>
      <c r="L53" s="14">
        <v>38730.0</v>
      </c>
      <c r="M53" s="7">
        <v>9916005.0</v>
      </c>
      <c r="O53" s="10">
        <f t="shared" si="5"/>
        <v>35782728</v>
      </c>
      <c r="P53" s="12">
        <f t="shared" si="6"/>
        <v>1</v>
      </c>
    </row>
    <row r="54">
      <c r="A54" s="5" t="s">
        <v>20</v>
      </c>
      <c r="B54" s="14">
        <v>3165356.0</v>
      </c>
      <c r="C54" s="7">
        <v>2521313.0</v>
      </c>
      <c r="D54" s="7">
        <v>9057207.0</v>
      </c>
      <c r="E54" s="7">
        <v>2830726.0</v>
      </c>
      <c r="J54" s="14">
        <v>306197.0</v>
      </c>
      <c r="K54" s="14">
        <v>7947194.0</v>
      </c>
      <c r="L54" s="14">
        <v>38730.0</v>
      </c>
      <c r="M54" s="7">
        <v>9916005.0</v>
      </c>
      <c r="O54" s="10">
        <f t="shared" si="5"/>
        <v>35782728</v>
      </c>
      <c r="P54" s="12">
        <f t="shared" si="6"/>
        <v>1</v>
      </c>
    </row>
    <row r="55">
      <c r="A55" s="5" t="s">
        <v>21</v>
      </c>
      <c r="B55" s="14">
        <v>3165356.0</v>
      </c>
      <c r="C55" s="7">
        <v>2521313.0</v>
      </c>
      <c r="D55" s="7">
        <v>9057207.0</v>
      </c>
      <c r="E55" s="7">
        <v>2830726.0</v>
      </c>
      <c r="J55" s="14">
        <v>306197.0</v>
      </c>
      <c r="K55" s="14">
        <v>7947194.0</v>
      </c>
      <c r="L55" s="14">
        <v>38730.0</v>
      </c>
      <c r="M55" s="7">
        <v>9916005.0</v>
      </c>
      <c r="O55" s="10">
        <f t="shared" si="5"/>
        <v>35782728</v>
      </c>
      <c r="P55" s="12">
        <f t="shared" si="6"/>
        <v>1</v>
      </c>
    </row>
    <row r="56">
      <c r="A56" s="5" t="s">
        <v>22</v>
      </c>
      <c r="B56" s="14">
        <v>2215822.0</v>
      </c>
      <c r="C56" s="7">
        <v>1753164.0</v>
      </c>
      <c r="D56" s="7">
        <v>6075614.0</v>
      </c>
      <c r="E56" s="7">
        <v>1891823.0</v>
      </c>
      <c r="J56" s="14">
        <v>204131.0</v>
      </c>
      <c r="K56" s="14">
        <v>5521175.0</v>
      </c>
      <c r="L56" s="14">
        <v>25820.0</v>
      </c>
      <c r="M56" s="7">
        <v>6623360.0</v>
      </c>
      <c r="O56" s="10">
        <f t="shared" si="5"/>
        <v>24310909</v>
      </c>
      <c r="P56" s="12">
        <f t="shared" si="6"/>
        <v>0.6794034541</v>
      </c>
    </row>
    <row r="57">
      <c r="A57" s="5" t="s">
        <v>23</v>
      </c>
      <c r="B57" s="14">
        <v>3165356.0</v>
      </c>
      <c r="C57" s="7">
        <v>2521313.0</v>
      </c>
      <c r="D57" s="7">
        <v>9057207.0</v>
      </c>
      <c r="E57" s="7">
        <v>2830726.0</v>
      </c>
      <c r="J57" s="14">
        <v>306197.0</v>
      </c>
      <c r="K57" s="14">
        <v>7947194.0</v>
      </c>
      <c r="L57" s="14">
        <v>38730.0</v>
      </c>
      <c r="M57" s="7">
        <v>9916005.0</v>
      </c>
      <c r="O57" s="10">
        <f t="shared" si="5"/>
        <v>35782728</v>
      </c>
      <c r="P57" s="12">
        <f t="shared" si="6"/>
        <v>1</v>
      </c>
    </row>
    <row r="58">
      <c r="A58" s="5" t="s">
        <v>24</v>
      </c>
      <c r="B58" s="14">
        <v>2215822.0</v>
      </c>
      <c r="C58" s="7">
        <v>1753164.0</v>
      </c>
      <c r="D58" s="7">
        <v>6075614.0</v>
      </c>
      <c r="E58" s="7">
        <v>1891823.0</v>
      </c>
      <c r="J58" s="14">
        <v>204131.0</v>
      </c>
      <c r="K58" s="14">
        <v>5521175.0</v>
      </c>
      <c r="L58" s="14">
        <v>25820.0</v>
      </c>
      <c r="M58" s="7">
        <v>6623360.0</v>
      </c>
      <c r="O58" s="10">
        <f t="shared" si="5"/>
        <v>24310909</v>
      </c>
      <c r="P58" s="12">
        <f t="shared" si="6"/>
        <v>0.6794034541</v>
      </c>
    </row>
    <row r="59">
      <c r="A59" s="5" t="s">
        <v>25</v>
      </c>
      <c r="B59" s="14">
        <v>3165356.0</v>
      </c>
      <c r="C59" s="7">
        <v>2521313.0</v>
      </c>
      <c r="D59" s="7">
        <v>9057207.0</v>
      </c>
      <c r="E59" s="7">
        <v>2830726.0</v>
      </c>
      <c r="J59" s="14">
        <v>306197.0</v>
      </c>
      <c r="K59" s="14">
        <v>7947194.0</v>
      </c>
      <c r="L59" s="14">
        <v>38730.0</v>
      </c>
      <c r="M59" s="7">
        <v>9916005.0</v>
      </c>
      <c r="O59" s="10">
        <f t="shared" si="5"/>
        <v>35782728</v>
      </c>
      <c r="P59" s="12">
        <f t="shared" si="6"/>
        <v>1</v>
      </c>
    </row>
    <row r="60">
      <c r="A60" s="5" t="s">
        <v>26</v>
      </c>
      <c r="B60" s="14">
        <v>3165356.0</v>
      </c>
      <c r="C60" s="7">
        <v>2521313.0</v>
      </c>
      <c r="D60" s="7">
        <v>9057207.0</v>
      </c>
      <c r="E60" s="7">
        <v>2830726.0</v>
      </c>
      <c r="J60" s="14">
        <v>306197.0</v>
      </c>
      <c r="K60" s="14">
        <v>7947194.0</v>
      </c>
      <c r="L60" s="14">
        <v>38730.0</v>
      </c>
      <c r="M60" s="7">
        <v>9916005.0</v>
      </c>
      <c r="O60" s="10">
        <f t="shared" si="5"/>
        <v>35782728</v>
      </c>
      <c r="P60" s="12">
        <f t="shared" si="6"/>
        <v>1</v>
      </c>
    </row>
    <row r="61">
      <c r="A61" s="5" t="s">
        <v>27</v>
      </c>
      <c r="B61" s="14">
        <v>3165356.0</v>
      </c>
      <c r="C61" s="7">
        <v>2521313.0</v>
      </c>
      <c r="D61" s="7">
        <v>9057207.0</v>
      </c>
      <c r="E61" s="7">
        <v>2830726.0</v>
      </c>
      <c r="J61" s="14">
        <v>306197.0</v>
      </c>
      <c r="K61" s="14">
        <v>7947194.0</v>
      </c>
      <c r="L61" s="14">
        <v>38730.0</v>
      </c>
      <c r="M61" s="7">
        <v>9916005.0</v>
      </c>
      <c r="O61" s="10">
        <f t="shared" si="5"/>
        <v>35782728</v>
      </c>
      <c r="P61" s="12">
        <f t="shared" si="6"/>
        <v>1</v>
      </c>
    </row>
    <row r="62">
      <c r="A62" s="5" t="s">
        <v>28</v>
      </c>
      <c r="B62" s="14">
        <v>2437476.0</v>
      </c>
      <c r="C62" s="7">
        <v>1916725.0</v>
      </c>
      <c r="D62" s="7">
        <v>6418746.0</v>
      </c>
      <c r="E62" s="7">
        <v>1110169.0</v>
      </c>
      <c r="J62" s="14">
        <v>129812.0</v>
      </c>
      <c r="K62" s="14">
        <v>6031432.0</v>
      </c>
      <c r="L62" s="14">
        <v>27111.0</v>
      </c>
      <c r="M62" s="7">
        <v>4927752.0</v>
      </c>
      <c r="O62" s="10">
        <f t="shared" si="5"/>
        <v>22999223</v>
      </c>
      <c r="P62" s="12">
        <f t="shared" si="6"/>
        <v>0.6427464949</v>
      </c>
    </row>
    <row r="63">
      <c r="A63" s="5" t="s">
        <v>29</v>
      </c>
      <c r="B63" s="14">
        <v>3165356.0</v>
      </c>
      <c r="C63" s="7">
        <v>2521313.0</v>
      </c>
      <c r="D63" s="7">
        <v>9057207.0</v>
      </c>
      <c r="E63" s="7">
        <v>2830726.0</v>
      </c>
      <c r="J63" s="14">
        <v>306197.0</v>
      </c>
      <c r="K63" s="14">
        <v>7947194.0</v>
      </c>
      <c r="L63" s="14">
        <v>38730.0</v>
      </c>
      <c r="M63" s="7">
        <v>9916005.0</v>
      </c>
      <c r="O63" s="10">
        <f t="shared" si="5"/>
        <v>35782728</v>
      </c>
      <c r="P63" s="12">
        <f t="shared" si="6"/>
        <v>1</v>
      </c>
    </row>
    <row r="64">
      <c r="A64" s="5" t="s">
        <v>30</v>
      </c>
      <c r="B64" s="14">
        <v>3165356.0</v>
      </c>
      <c r="C64" s="7">
        <v>2521313.0</v>
      </c>
      <c r="D64" s="7">
        <v>9057207.0</v>
      </c>
      <c r="E64" s="7">
        <v>2830726.0</v>
      </c>
      <c r="J64" s="14">
        <v>306197.0</v>
      </c>
      <c r="K64" s="14">
        <v>7947194.0</v>
      </c>
      <c r="L64" s="14">
        <v>38730.0</v>
      </c>
      <c r="M64" s="7">
        <v>9916005.0</v>
      </c>
      <c r="O64" s="10">
        <f t="shared" si="5"/>
        <v>35782728</v>
      </c>
      <c r="P64" s="12">
        <f t="shared" si="6"/>
        <v>1</v>
      </c>
    </row>
    <row r="65">
      <c r="A65" s="5" t="s">
        <v>31</v>
      </c>
      <c r="B65" s="14">
        <v>2801416.0</v>
      </c>
      <c r="C65" s="7">
        <v>2219019.0</v>
      </c>
      <c r="D65" s="7">
        <v>7737976.0</v>
      </c>
      <c r="E65" s="7">
        <v>2411024.0</v>
      </c>
      <c r="J65" s="14">
        <v>260267.0</v>
      </c>
      <c r="K65" s="14">
        <v>6989313.0</v>
      </c>
      <c r="L65" s="14">
        <v>32920.0</v>
      </c>
      <c r="M65" s="7">
        <v>8441929.0</v>
      </c>
      <c r="O65" s="10">
        <f t="shared" si="5"/>
        <v>30893864</v>
      </c>
      <c r="P65" s="12">
        <f t="shared" si="6"/>
        <v>0.8633736366</v>
      </c>
    </row>
    <row r="66">
      <c r="A66" s="5" t="s">
        <v>32</v>
      </c>
      <c r="B66" s="14">
        <v>3165356.0</v>
      </c>
      <c r="C66" s="7">
        <v>2521313.0</v>
      </c>
      <c r="D66" s="7">
        <v>9057207.0</v>
      </c>
      <c r="E66" s="7">
        <v>2830726.0</v>
      </c>
      <c r="J66" s="14">
        <v>306197.0</v>
      </c>
      <c r="K66" s="14">
        <v>7947194.0</v>
      </c>
      <c r="L66" s="14">
        <v>38730.0</v>
      </c>
      <c r="M66" s="7">
        <v>9916005.0</v>
      </c>
      <c r="O66" s="10">
        <f t="shared" si="5"/>
        <v>35782728</v>
      </c>
      <c r="P66" s="12">
        <f t="shared" si="6"/>
        <v>1</v>
      </c>
    </row>
    <row r="67">
      <c r="A67" s="4" t="s">
        <v>33</v>
      </c>
      <c r="B67" s="14">
        <v>3165356.0</v>
      </c>
      <c r="C67" s="7">
        <v>2521313.0</v>
      </c>
      <c r="D67" s="7">
        <v>9057207.0</v>
      </c>
      <c r="E67" s="7">
        <v>2830726.0</v>
      </c>
      <c r="J67" s="14">
        <v>306197.0</v>
      </c>
      <c r="K67" s="14">
        <v>7947194.0</v>
      </c>
      <c r="L67" s="14">
        <v>38730.0</v>
      </c>
      <c r="M67" s="7">
        <v>9916005.0</v>
      </c>
      <c r="O67" s="10">
        <f t="shared" si="5"/>
        <v>35782728</v>
      </c>
      <c r="P67" s="12">
        <f t="shared" si="6"/>
        <v>1</v>
      </c>
    </row>
    <row r="68">
      <c r="A68" s="5" t="s">
        <v>34</v>
      </c>
      <c r="B68" s="14">
        <v>3165356.0</v>
      </c>
      <c r="C68" s="7">
        <v>2521313.0</v>
      </c>
      <c r="D68" s="7">
        <v>9057207.0</v>
      </c>
      <c r="E68" s="7">
        <v>2830726.0</v>
      </c>
      <c r="J68" s="14">
        <v>306197.0</v>
      </c>
      <c r="K68" s="14">
        <v>7947194.0</v>
      </c>
      <c r="L68" s="14">
        <v>38730.0</v>
      </c>
      <c r="M68" s="7">
        <v>9916005.0</v>
      </c>
      <c r="O68" s="10">
        <f t="shared" si="5"/>
        <v>35782728</v>
      </c>
      <c r="P68" s="12">
        <f t="shared" si="6"/>
        <v>1</v>
      </c>
    </row>
    <row r="69">
      <c r="A69" s="5" t="s">
        <v>35</v>
      </c>
      <c r="B69" s="14">
        <v>2437476.0</v>
      </c>
      <c r="C69" s="7">
        <v>1916725.0</v>
      </c>
      <c r="D69" s="7">
        <v>6418746.0</v>
      </c>
      <c r="E69" s="7">
        <v>2401211.0</v>
      </c>
      <c r="J69" s="14">
        <v>260267.0</v>
      </c>
      <c r="K69" s="14">
        <v>6031432.0</v>
      </c>
      <c r="L69" s="14">
        <v>32920.0</v>
      </c>
      <c r="M69" s="7">
        <v>8158475.0</v>
      </c>
      <c r="O69" s="10">
        <f t="shared" si="5"/>
        <v>27657252</v>
      </c>
      <c r="P69" s="12">
        <f t="shared" si="6"/>
        <v>0.772921841</v>
      </c>
    </row>
    <row r="70">
      <c r="A70" s="5" t="s">
        <v>36</v>
      </c>
      <c r="B70" s="14">
        <v>3165356.0</v>
      </c>
      <c r="C70" s="7">
        <v>2521313.0</v>
      </c>
      <c r="D70" s="7">
        <v>9057207.0</v>
      </c>
      <c r="E70" s="7">
        <v>2830726.0</v>
      </c>
      <c r="J70" s="14">
        <v>306197.0</v>
      </c>
      <c r="K70" s="14">
        <v>7947194.0</v>
      </c>
      <c r="L70" s="14">
        <v>38730.0</v>
      </c>
      <c r="M70" s="7">
        <v>9916005.0</v>
      </c>
      <c r="O70" s="10">
        <f t="shared" si="5"/>
        <v>35782728</v>
      </c>
      <c r="P70" s="12">
        <f t="shared" si="6"/>
        <v>1</v>
      </c>
    </row>
    <row r="71">
      <c r="A71" s="4" t="s">
        <v>37</v>
      </c>
      <c r="B71" s="14">
        <v>3165356.0</v>
      </c>
      <c r="C71" s="7">
        <v>2521313.0</v>
      </c>
      <c r="D71" s="7">
        <v>9057207.0</v>
      </c>
      <c r="E71" s="7">
        <v>2830726.0</v>
      </c>
      <c r="J71" s="14">
        <v>306197.0</v>
      </c>
      <c r="K71" s="14">
        <v>7947194.0</v>
      </c>
      <c r="L71" s="14">
        <v>38730.0</v>
      </c>
      <c r="M71" s="7">
        <v>9916005.0</v>
      </c>
      <c r="O71" s="10">
        <f t="shared" si="5"/>
        <v>35782728</v>
      </c>
      <c r="P71" s="12">
        <f t="shared" si="6"/>
        <v>1</v>
      </c>
    </row>
    <row r="74">
      <c r="B74" s="24">
        <v>46113.0</v>
      </c>
      <c r="C74" s="24">
        <v>46122.0</v>
      </c>
      <c r="D74" s="24">
        <v>46129.0</v>
      </c>
      <c r="E74" s="24">
        <v>46136.0</v>
      </c>
      <c r="F74" s="1">
        <v>46141.0</v>
      </c>
      <c r="J74" s="24">
        <v>46117.0</v>
      </c>
      <c r="K74" s="24">
        <v>46127.0</v>
      </c>
      <c r="L74" s="1">
        <v>46142.0</v>
      </c>
      <c r="M74" s="1">
        <v>46140.0</v>
      </c>
      <c r="O74" s="4" t="s">
        <v>4</v>
      </c>
    </row>
    <row r="75">
      <c r="A75" s="5" t="s">
        <v>5</v>
      </c>
      <c r="B75" s="8">
        <v>3776691.0</v>
      </c>
      <c r="C75" s="7">
        <v>2165748.0</v>
      </c>
      <c r="D75" s="7">
        <v>4043575.0</v>
      </c>
      <c r="E75" s="7">
        <v>3558757.0</v>
      </c>
      <c r="F75" s="7">
        <v>6006728.0</v>
      </c>
      <c r="J75" s="8">
        <v>236443.0</v>
      </c>
      <c r="K75" s="8">
        <v>4705250.0</v>
      </c>
      <c r="L75" s="8">
        <v>1.3678868E7</v>
      </c>
      <c r="M75" s="7">
        <v>112261.0</v>
      </c>
      <c r="O75" s="10">
        <f t="shared" ref="O75:O95" si="7">SUM(B75:M75)</f>
        <v>38284321</v>
      </c>
      <c r="P75" s="12">
        <f t="shared" ref="P75:P95" si="8">O75/$O$75</f>
        <v>1</v>
      </c>
    </row>
    <row r="76">
      <c r="A76" s="5" t="s">
        <v>18</v>
      </c>
      <c r="B76" s="14">
        <v>3776691.0</v>
      </c>
      <c r="C76" s="7">
        <v>2165748.0</v>
      </c>
      <c r="D76" s="7">
        <v>4043575.0</v>
      </c>
      <c r="E76" s="7">
        <v>3558757.0</v>
      </c>
      <c r="F76" s="7">
        <v>6006728.0</v>
      </c>
      <c r="J76" s="14">
        <v>236443.0</v>
      </c>
      <c r="K76" s="14">
        <v>4705250.0</v>
      </c>
      <c r="L76" s="14">
        <v>1.3678868E7</v>
      </c>
      <c r="M76" s="7">
        <v>112261.0</v>
      </c>
      <c r="O76" s="10">
        <f t="shared" si="7"/>
        <v>38284321</v>
      </c>
      <c r="P76" s="12">
        <f t="shared" si="8"/>
        <v>1</v>
      </c>
    </row>
    <row r="77">
      <c r="A77" s="4" t="s">
        <v>19</v>
      </c>
      <c r="B77" s="14">
        <v>3776691.0</v>
      </c>
      <c r="C77" s="7">
        <v>2165748.0</v>
      </c>
      <c r="D77" s="7">
        <v>4043575.0</v>
      </c>
      <c r="E77" s="7">
        <v>3558757.0</v>
      </c>
      <c r="F77" s="7">
        <v>6006728.0</v>
      </c>
      <c r="J77" s="14">
        <v>236443.0</v>
      </c>
      <c r="K77" s="14">
        <v>4705250.0</v>
      </c>
      <c r="L77" s="14">
        <v>1.3678868E7</v>
      </c>
      <c r="M77" s="7">
        <v>112261.0</v>
      </c>
      <c r="O77" s="10">
        <f t="shared" si="7"/>
        <v>38284321</v>
      </c>
      <c r="P77" s="12">
        <f t="shared" si="8"/>
        <v>1</v>
      </c>
    </row>
    <row r="78">
      <c r="A78" s="5" t="s">
        <v>20</v>
      </c>
      <c r="B78" s="14">
        <v>3776691.0</v>
      </c>
      <c r="C78" s="7">
        <v>2165748.0</v>
      </c>
      <c r="D78" s="7">
        <v>4043575.0</v>
      </c>
      <c r="E78" s="7">
        <v>3558757.0</v>
      </c>
      <c r="F78" s="7">
        <v>6006728.0</v>
      </c>
      <c r="J78" s="14">
        <v>236443.0</v>
      </c>
      <c r="K78" s="14">
        <v>4705250.0</v>
      </c>
      <c r="L78" s="14">
        <v>1.3678868E7</v>
      </c>
      <c r="M78" s="7">
        <v>112261.0</v>
      </c>
      <c r="O78" s="10">
        <f t="shared" si="7"/>
        <v>38284321</v>
      </c>
      <c r="P78" s="12">
        <f t="shared" si="8"/>
        <v>1</v>
      </c>
    </row>
    <row r="79">
      <c r="A79" s="5" t="s">
        <v>21</v>
      </c>
      <c r="B79" s="14">
        <v>3776691.0</v>
      </c>
      <c r="C79" s="7">
        <v>2165748.0</v>
      </c>
      <c r="D79" s="7">
        <v>4043575.0</v>
      </c>
      <c r="E79" s="7">
        <v>3558757.0</v>
      </c>
      <c r="F79" s="7">
        <v>5782263.0</v>
      </c>
      <c r="J79" s="14">
        <v>218069.0</v>
      </c>
      <c r="K79" s="14">
        <v>4705250.0</v>
      </c>
      <c r="L79" s="14">
        <v>1.298563E7</v>
      </c>
      <c r="M79" s="7">
        <v>112261.0</v>
      </c>
      <c r="O79" s="10">
        <f t="shared" si="7"/>
        <v>37348244</v>
      </c>
      <c r="P79" s="12">
        <f t="shared" si="8"/>
        <v>0.9755493378</v>
      </c>
    </row>
    <row r="80">
      <c r="A80" s="5" t="s">
        <v>22</v>
      </c>
      <c r="B80" s="14">
        <v>2650878.0</v>
      </c>
      <c r="C80" s="7">
        <v>1452426.0</v>
      </c>
      <c r="D80" s="7">
        <v>2781374.0</v>
      </c>
      <c r="E80" s="7">
        <v>2508651.0</v>
      </c>
      <c r="F80" s="7">
        <v>4089803.0</v>
      </c>
      <c r="J80" s="14">
        <v>157628.0</v>
      </c>
      <c r="K80" s="14">
        <v>3141105.0</v>
      </c>
      <c r="L80" s="14">
        <v>9157161.0</v>
      </c>
      <c r="M80" s="7">
        <v>74840.0</v>
      </c>
      <c r="O80" s="10">
        <f t="shared" si="7"/>
        <v>26013866</v>
      </c>
      <c r="P80" s="12">
        <f t="shared" si="8"/>
        <v>0.6794913772</v>
      </c>
    </row>
    <row r="81">
      <c r="A81" s="5" t="s">
        <v>23</v>
      </c>
      <c r="B81" s="14">
        <v>3776691.0</v>
      </c>
      <c r="C81" s="7">
        <v>2165748.0</v>
      </c>
      <c r="D81" s="7">
        <v>4043575.0</v>
      </c>
      <c r="E81" s="7">
        <v>3558757.0</v>
      </c>
      <c r="F81" s="7">
        <v>6006728.0</v>
      </c>
      <c r="J81" s="14">
        <v>236443.0</v>
      </c>
      <c r="K81" s="14">
        <v>4705250.0</v>
      </c>
      <c r="L81" s="14">
        <v>1.3678868E7</v>
      </c>
      <c r="M81" s="7">
        <v>112261.0</v>
      </c>
      <c r="O81" s="10">
        <f t="shared" si="7"/>
        <v>38284321</v>
      </c>
      <c r="P81" s="12">
        <f t="shared" si="8"/>
        <v>1</v>
      </c>
    </row>
    <row r="82">
      <c r="A82" s="5" t="s">
        <v>24</v>
      </c>
      <c r="B82" s="14">
        <v>2650878.0</v>
      </c>
      <c r="C82" s="7">
        <v>1452426.0</v>
      </c>
      <c r="D82" s="7">
        <v>2781374.0</v>
      </c>
      <c r="E82" s="7">
        <v>2508651.0</v>
      </c>
      <c r="F82" s="7">
        <v>4089803.0</v>
      </c>
      <c r="J82" s="14">
        <v>157628.0</v>
      </c>
      <c r="K82" s="14">
        <v>3141105.0</v>
      </c>
      <c r="L82" s="14">
        <v>9157161.0</v>
      </c>
      <c r="M82" s="7">
        <v>74840.0</v>
      </c>
      <c r="O82" s="10">
        <f t="shared" si="7"/>
        <v>26013866</v>
      </c>
      <c r="P82" s="12">
        <f t="shared" si="8"/>
        <v>0.6794913772</v>
      </c>
    </row>
    <row r="83">
      <c r="A83" s="5" t="s">
        <v>25</v>
      </c>
      <c r="B83" s="14">
        <v>3776691.0</v>
      </c>
      <c r="C83" s="7">
        <v>2165748.0</v>
      </c>
      <c r="D83" s="7">
        <v>4043575.0</v>
      </c>
      <c r="E83" s="7">
        <v>3558757.0</v>
      </c>
      <c r="F83" s="7">
        <v>6006728.0</v>
      </c>
      <c r="J83" s="14">
        <v>236443.0</v>
      </c>
      <c r="K83" s="14">
        <v>4705250.0</v>
      </c>
      <c r="L83" s="14">
        <v>1.3678868E7</v>
      </c>
      <c r="M83" s="7">
        <v>112261.0</v>
      </c>
      <c r="O83" s="10">
        <f t="shared" si="7"/>
        <v>38284321</v>
      </c>
      <c r="P83" s="12">
        <f t="shared" si="8"/>
        <v>1</v>
      </c>
    </row>
    <row r="84">
      <c r="A84" s="5" t="s">
        <v>26</v>
      </c>
      <c r="B84" s="14">
        <v>3776691.0</v>
      </c>
      <c r="C84" s="7">
        <v>2165748.0</v>
      </c>
      <c r="D84" s="7">
        <v>4043575.0</v>
      </c>
      <c r="E84" s="7">
        <v>3558757.0</v>
      </c>
      <c r="F84" s="7">
        <v>6006728.0</v>
      </c>
      <c r="J84" s="14">
        <v>236443.0</v>
      </c>
      <c r="K84" s="14">
        <v>4705250.0</v>
      </c>
      <c r="L84" s="14">
        <v>1.3678868E7</v>
      </c>
      <c r="M84" s="7">
        <v>112261.0</v>
      </c>
      <c r="O84" s="10">
        <f t="shared" si="7"/>
        <v>38284321</v>
      </c>
      <c r="P84" s="12">
        <f t="shared" si="8"/>
        <v>1</v>
      </c>
    </row>
    <row r="85">
      <c r="A85" s="5" t="s">
        <v>27</v>
      </c>
      <c r="B85" s="14">
        <v>3776691.0</v>
      </c>
      <c r="C85" s="7">
        <v>2165748.0</v>
      </c>
      <c r="D85" s="7">
        <v>4043575.0</v>
      </c>
      <c r="E85" s="7">
        <v>3558757.0</v>
      </c>
      <c r="F85" s="7">
        <v>6006728.0</v>
      </c>
      <c r="J85" s="14">
        <v>236443.0</v>
      </c>
      <c r="K85" s="14">
        <v>4705250.0</v>
      </c>
      <c r="L85" s="14">
        <v>1.3678868E7</v>
      </c>
      <c r="M85" s="7">
        <v>112261.0</v>
      </c>
      <c r="O85" s="10">
        <f t="shared" si="7"/>
        <v>38284321</v>
      </c>
      <c r="P85" s="12">
        <f t="shared" si="8"/>
        <v>1</v>
      </c>
    </row>
    <row r="86">
      <c r="A86" s="5" t="s">
        <v>28</v>
      </c>
      <c r="B86" s="14">
        <v>2923159.0</v>
      </c>
      <c r="C86" s="7">
        <v>1155701.0</v>
      </c>
      <c r="D86" s="7">
        <v>2519061.0</v>
      </c>
      <c r="E86" s="7">
        <v>2722426.0</v>
      </c>
      <c r="F86" s="7">
        <v>3051040.0</v>
      </c>
      <c r="J86" s="14">
        <v>82755.0</v>
      </c>
      <c r="K86" s="14">
        <v>2550276.0</v>
      </c>
      <c r="L86" s="14">
        <v>5357246.0</v>
      </c>
      <c r="M86" s="7">
        <v>39291.0</v>
      </c>
      <c r="O86" s="10">
        <f t="shared" si="7"/>
        <v>20400955</v>
      </c>
      <c r="P86" s="12">
        <f t="shared" si="8"/>
        <v>0.5328801574</v>
      </c>
    </row>
    <row r="87">
      <c r="A87" s="5" t="s">
        <v>29</v>
      </c>
      <c r="B87" s="14">
        <v>3776691.0</v>
      </c>
      <c r="C87" s="7">
        <v>2165748.0</v>
      </c>
      <c r="D87" s="7">
        <v>4043575.0</v>
      </c>
      <c r="E87" s="7">
        <v>3558757.0</v>
      </c>
      <c r="F87" s="7">
        <v>6006728.0</v>
      </c>
      <c r="J87" s="14">
        <v>236443.0</v>
      </c>
      <c r="K87" s="14">
        <v>4705250.0</v>
      </c>
      <c r="L87" s="14">
        <v>1.3678868E7</v>
      </c>
      <c r="M87" s="7">
        <v>112261.0</v>
      </c>
      <c r="O87" s="10">
        <f t="shared" si="7"/>
        <v>38284321</v>
      </c>
      <c r="P87" s="12">
        <f t="shared" si="8"/>
        <v>1</v>
      </c>
    </row>
    <row r="88">
      <c r="A88" s="5" t="s">
        <v>30</v>
      </c>
      <c r="B88" s="14">
        <v>3776691.0</v>
      </c>
      <c r="C88" s="7">
        <v>2165748.0</v>
      </c>
      <c r="D88" s="7">
        <v>4043575.0</v>
      </c>
      <c r="E88" s="7">
        <v>3558757.0</v>
      </c>
      <c r="F88" s="7">
        <v>6006728.0</v>
      </c>
      <c r="J88" s="14">
        <v>236443.0</v>
      </c>
      <c r="K88" s="14">
        <v>4705250.0</v>
      </c>
      <c r="L88" s="14">
        <v>1.3678868E7</v>
      </c>
      <c r="M88" s="7">
        <v>112261.0</v>
      </c>
      <c r="O88" s="10">
        <f t="shared" si="7"/>
        <v>38284321</v>
      </c>
      <c r="P88" s="12">
        <f t="shared" si="8"/>
        <v>1</v>
      </c>
    </row>
    <row r="89">
      <c r="A89" s="5" t="s">
        <v>31</v>
      </c>
      <c r="B89" s="14">
        <v>3349925.0</v>
      </c>
      <c r="C89" s="7">
        <v>1849910.0</v>
      </c>
      <c r="D89" s="7">
        <v>3526979.0</v>
      </c>
      <c r="E89" s="7">
        <v>3167897.0</v>
      </c>
      <c r="F89" s="7">
        <v>5195303.0</v>
      </c>
      <c r="J89" s="14">
        <v>200976.0</v>
      </c>
      <c r="K89" s="14">
        <v>4003948.0</v>
      </c>
      <c r="L89" s="14">
        <v>1.1666849E7</v>
      </c>
      <c r="M89" s="7">
        <v>95421.0</v>
      </c>
      <c r="O89" s="10">
        <f t="shared" si="7"/>
        <v>33057208</v>
      </c>
      <c r="P89" s="12">
        <f t="shared" si="8"/>
        <v>0.8634659604</v>
      </c>
    </row>
    <row r="90">
      <c r="A90" s="5" t="s">
        <v>32</v>
      </c>
      <c r="B90" s="14">
        <v>3776691.0</v>
      </c>
      <c r="C90" s="7">
        <v>2165748.0</v>
      </c>
      <c r="D90" s="7">
        <v>4043575.0</v>
      </c>
      <c r="E90" s="7">
        <v>3558757.0</v>
      </c>
      <c r="F90" s="7">
        <v>6006728.0</v>
      </c>
      <c r="J90" s="14">
        <v>236443.0</v>
      </c>
      <c r="K90" s="14">
        <v>4705250.0</v>
      </c>
      <c r="L90" s="14">
        <v>1.3678868E7</v>
      </c>
      <c r="M90" s="7">
        <v>112261.0</v>
      </c>
      <c r="O90" s="10">
        <f t="shared" si="7"/>
        <v>38284321</v>
      </c>
      <c r="P90" s="12">
        <f t="shared" si="8"/>
        <v>1</v>
      </c>
    </row>
    <row r="91">
      <c r="A91" s="4" t="s">
        <v>33</v>
      </c>
      <c r="B91" s="14">
        <v>3776691.0</v>
      </c>
      <c r="C91" s="7">
        <v>2165748.0</v>
      </c>
      <c r="D91" s="7">
        <v>4043575.0</v>
      </c>
      <c r="E91" s="7">
        <v>3558757.0</v>
      </c>
      <c r="F91" s="7">
        <v>6006728.0</v>
      </c>
      <c r="J91" s="14">
        <v>236443.0</v>
      </c>
      <c r="K91" s="14">
        <v>4705250.0</v>
      </c>
      <c r="L91" s="14">
        <v>1.3568973E7</v>
      </c>
      <c r="M91" s="7">
        <v>112261.0</v>
      </c>
      <c r="O91" s="10">
        <f t="shared" si="7"/>
        <v>38174426</v>
      </c>
      <c r="P91" s="12">
        <f t="shared" si="8"/>
        <v>0.9971295037</v>
      </c>
    </row>
    <row r="92">
      <c r="A92" s="5" t="s">
        <v>34</v>
      </c>
      <c r="B92" s="14">
        <v>3776691.0</v>
      </c>
      <c r="C92" s="7">
        <v>2165748.0</v>
      </c>
      <c r="D92" s="7">
        <v>4043575.0</v>
      </c>
      <c r="E92" s="7">
        <v>3558757.0</v>
      </c>
      <c r="F92" s="7">
        <v>6006728.0</v>
      </c>
      <c r="J92" s="14">
        <v>236443.0</v>
      </c>
      <c r="K92" s="14">
        <v>4705250.0</v>
      </c>
      <c r="L92" s="14">
        <v>1.3678868E7</v>
      </c>
      <c r="M92" s="7">
        <v>112261.0</v>
      </c>
      <c r="O92" s="10">
        <f t="shared" si="7"/>
        <v>38284321</v>
      </c>
      <c r="P92" s="12">
        <f t="shared" si="8"/>
        <v>1</v>
      </c>
    </row>
    <row r="93">
      <c r="A93" s="5" t="s">
        <v>35</v>
      </c>
      <c r="B93" s="14">
        <v>2923159.0</v>
      </c>
      <c r="C93" s="7">
        <v>1725217.0</v>
      </c>
      <c r="D93" s="7">
        <v>3342518.0</v>
      </c>
      <c r="E93" s="7">
        <v>2808527.0</v>
      </c>
      <c r="F93" s="7">
        <v>5009886.0</v>
      </c>
      <c r="J93" s="14">
        <v>200976.0</v>
      </c>
      <c r="K93" s="14">
        <v>3775355.0</v>
      </c>
      <c r="L93" s="14">
        <v>1.1579797E7</v>
      </c>
      <c r="M93" s="7">
        <v>95421.0</v>
      </c>
      <c r="O93" s="10">
        <f t="shared" si="7"/>
        <v>31460856</v>
      </c>
      <c r="P93" s="12">
        <f t="shared" si="8"/>
        <v>0.8217686818</v>
      </c>
    </row>
    <row r="94">
      <c r="A94" s="5" t="s">
        <v>36</v>
      </c>
      <c r="B94" s="14">
        <v>3776691.0</v>
      </c>
      <c r="C94" s="7">
        <v>2165748.0</v>
      </c>
      <c r="D94" s="7">
        <v>4043575.0</v>
      </c>
      <c r="E94" s="7">
        <v>3558757.0</v>
      </c>
      <c r="F94" s="7">
        <v>6006728.0</v>
      </c>
      <c r="J94" s="14">
        <v>236443.0</v>
      </c>
      <c r="K94" s="14">
        <v>4705250.0</v>
      </c>
      <c r="L94" s="14">
        <v>1.3678868E7</v>
      </c>
      <c r="M94" s="7">
        <v>112261.0</v>
      </c>
      <c r="O94" s="10">
        <f t="shared" si="7"/>
        <v>38284321</v>
      </c>
      <c r="P94" s="12">
        <f t="shared" si="8"/>
        <v>1</v>
      </c>
    </row>
    <row r="95">
      <c r="A95" s="4" t="s">
        <v>37</v>
      </c>
      <c r="B95" s="14">
        <v>3776691.0</v>
      </c>
      <c r="C95" s="7">
        <v>2165748.0</v>
      </c>
      <c r="D95" s="7">
        <v>4043575.0</v>
      </c>
      <c r="E95" s="7">
        <v>3558757.0</v>
      </c>
      <c r="F95" s="7">
        <v>6006728.0</v>
      </c>
      <c r="J95" s="14">
        <v>236443.0</v>
      </c>
      <c r="K95" s="14">
        <v>4705250.0</v>
      </c>
      <c r="L95" s="14">
        <v>1.3568973E7</v>
      </c>
      <c r="M95" s="7">
        <v>112261.0</v>
      </c>
      <c r="O95" s="10">
        <f t="shared" si="7"/>
        <v>38174426</v>
      </c>
      <c r="P95" s="12">
        <f t="shared" si="8"/>
        <v>0.9971295037</v>
      </c>
    </row>
    <row r="96">
      <c r="O96" s="10">
        <f>SUM(O75:O95)</f>
        <v>748340020</v>
      </c>
    </row>
    <row r="98">
      <c r="B98" s="1">
        <v>46149.0</v>
      </c>
      <c r="C98" s="1">
        <v>46150.0</v>
      </c>
      <c r="D98" s="1">
        <v>46156.0</v>
      </c>
      <c r="E98" s="1">
        <v>46157.0</v>
      </c>
      <c r="F98" s="1">
        <v>46164.0</v>
      </c>
      <c r="G98" s="1">
        <v>46170.0</v>
      </c>
      <c r="H98" s="1">
        <v>46171.0</v>
      </c>
      <c r="J98" s="1">
        <v>46147.0</v>
      </c>
      <c r="K98" s="1">
        <v>46157.0</v>
      </c>
      <c r="L98" s="1">
        <v>46169.0</v>
      </c>
      <c r="M98" s="1">
        <v>46171.0</v>
      </c>
      <c r="O98" s="4" t="s">
        <v>4</v>
      </c>
    </row>
    <row r="99">
      <c r="A99" s="5" t="s">
        <v>5</v>
      </c>
      <c r="B99" s="8">
        <v>5717360.0</v>
      </c>
      <c r="C99" s="7">
        <v>4904882.0</v>
      </c>
      <c r="D99" s="8">
        <v>148500.0</v>
      </c>
      <c r="E99" s="7">
        <v>8303823.0</v>
      </c>
      <c r="F99" s="7">
        <v>4614825.0</v>
      </c>
      <c r="G99" s="7">
        <v>3342307.0</v>
      </c>
      <c r="H99" s="7">
        <v>2864085.0</v>
      </c>
      <c r="J99" s="7">
        <v>239915.0</v>
      </c>
      <c r="K99" s="7">
        <v>8165142.0</v>
      </c>
      <c r="L99" s="7">
        <v>194598.0</v>
      </c>
      <c r="M99" s="7">
        <v>1.1643941E7</v>
      </c>
      <c r="O99" s="10">
        <f t="shared" ref="O99:O119" si="9">SUM(B99:M99)</f>
        <v>50139378</v>
      </c>
      <c r="P99" s="12">
        <f t="shared" ref="P99:P119" si="10">O99/$O$99</f>
        <v>1</v>
      </c>
    </row>
    <row r="100">
      <c r="A100" s="5" t="s">
        <v>18</v>
      </c>
      <c r="B100" s="14">
        <v>5717360.0</v>
      </c>
      <c r="C100" s="7">
        <v>4904882.0</v>
      </c>
      <c r="D100" s="14">
        <v>148500.0</v>
      </c>
      <c r="E100" s="7">
        <v>8303823.0</v>
      </c>
      <c r="F100" s="7">
        <v>4614825.0</v>
      </c>
      <c r="G100" s="7">
        <v>3342307.0</v>
      </c>
      <c r="H100" s="7">
        <v>2864085.0</v>
      </c>
      <c r="J100" s="7">
        <v>239915.0</v>
      </c>
      <c r="K100" s="7">
        <v>8165142.0</v>
      </c>
      <c r="L100" s="7">
        <v>194598.0</v>
      </c>
      <c r="M100" s="7">
        <v>1.1643941E7</v>
      </c>
      <c r="O100" s="10">
        <f t="shared" si="9"/>
        <v>50139378</v>
      </c>
      <c r="P100" s="12">
        <f t="shared" si="10"/>
        <v>1</v>
      </c>
    </row>
    <row r="101">
      <c r="A101" s="4" t="s">
        <v>19</v>
      </c>
      <c r="B101" s="14">
        <v>5717360.0</v>
      </c>
      <c r="C101" s="7">
        <v>4904882.0</v>
      </c>
      <c r="D101" s="14">
        <v>148500.0</v>
      </c>
      <c r="E101" s="7">
        <v>8303823.0</v>
      </c>
      <c r="F101" s="7">
        <v>4546949.0</v>
      </c>
      <c r="G101" s="7">
        <v>3342307.0</v>
      </c>
      <c r="H101" s="7">
        <v>2450296.0</v>
      </c>
      <c r="J101" s="7">
        <v>203927.0</v>
      </c>
      <c r="K101" s="7">
        <v>8165142.0</v>
      </c>
      <c r="L101" s="7">
        <v>165408.0</v>
      </c>
      <c r="M101" s="7">
        <v>1.0156497E7</v>
      </c>
      <c r="O101" s="10">
        <f t="shared" si="9"/>
        <v>48105091</v>
      </c>
      <c r="P101" s="12">
        <f t="shared" si="10"/>
        <v>0.9594273587</v>
      </c>
    </row>
    <row r="102">
      <c r="A102" s="5" t="s">
        <v>20</v>
      </c>
      <c r="B102" s="14">
        <v>5717360.0</v>
      </c>
      <c r="C102" s="7">
        <v>4904882.0</v>
      </c>
      <c r="D102" s="14">
        <v>148500.0</v>
      </c>
      <c r="E102" s="7">
        <v>8303823.0</v>
      </c>
      <c r="F102" s="7">
        <v>4614825.0</v>
      </c>
      <c r="G102" s="7">
        <v>3342307.0</v>
      </c>
      <c r="H102" s="7">
        <v>2864085.0</v>
      </c>
      <c r="J102" s="7">
        <v>239915.0</v>
      </c>
      <c r="K102" s="7">
        <v>8165142.0</v>
      </c>
      <c r="L102" s="7">
        <v>194598.0</v>
      </c>
      <c r="M102" s="7">
        <v>1.1643941E7</v>
      </c>
      <c r="O102" s="10">
        <f t="shared" si="9"/>
        <v>50139378</v>
      </c>
      <c r="P102" s="12">
        <f t="shared" si="10"/>
        <v>1</v>
      </c>
    </row>
    <row r="103">
      <c r="A103" s="5" t="s">
        <v>21</v>
      </c>
      <c r="B103" s="14">
        <v>5717360.0</v>
      </c>
      <c r="C103" s="7">
        <v>4733941.0</v>
      </c>
      <c r="D103" s="14">
        <v>148500.0</v>
      </c>
      <c r="E103" s="7">
        <v>8145538.0</v>
      </c>
      <c r="F103" s="7">
        <v>4291288.0</v>
      </c>
      <c r="G103" s="7">
        <v>3289200.0</v>
      </c>
      <c r="H103" s="7">
        <v>2434472.0</v>
      </c>
      <c r="J103" s="7">
        <v>203927.0</v>
      </c>
      <c r="K103" s="7">
        <v>8106580.0</v>
      </c>
      <c r="L103" s="7">
        <v>165408.0</v>
      </c>
      <c r="M103" s="7">
        <v>1.0044907E7</v>
      </c>
      <c r="O103" s="10">
        <f t="shared" si="9"/>
        <v>47281121</v>
      </c>
      <c r="P103" s="12">
        <f t="shared" si="10"/>
        <v>0.9429937683</v>
      </c>
    </row>
    <row r="104">
      <c r="A104" s="5" t="s">
        <v>22</v>
      </c>
      <c r="B104" s="14">
        <v>3812871.0</v>
      </c>
      <c r="C104" s="7">
        <v>3306990.0</v>
      </c>
      <c r="D104" s="14">
        <v>99000.0</v>
      </c>
      <c r="E104" s="7">
        <v>5550660.0</v>
      </c>
      <c r="F104" s="7">
        <v>3076550.0</v>
      </c>
      <c r="G104" s="7">
        <v>2228204.0</v>
      </c>
      <c r="H104" s="7">
        <v>1909390.0</v>
      </c>
      <c r="J104" s="7">
        <v>159943.0</v>
      </c>
      <c r="K104" s="7">
        <v>5448854.0</v>
      </c>
      <c r="L104" s="7">
        <v>129732.0</v>
      </c>
      <c r="M104" s="7">
        <v>7762627.0</v>
      </c>
      <c r="O104" s="10">
        <f t="shared" si="9"/>
        <v>33484821</v>
      </c>
      <c r="P104" s="12">
        <f t="shared" si="10"/>
        <v>0.6678347905</v>
      </c>
    </row>
    <row r="105">
      <c r="A105" s="5" t="s">
        <v>23</v>
      </c>
      <c r="B105" s="14">
        <v>5717360.0</v>
      </c>
      <c r="C105" s="7">
        <v>4904882.0</v>
      </c>
      <c r="D105" s="14">
        <v>148500.0</v>
      </c>
      <c r="E105" s="7">
        <v>8303823.0</v>
      </c>
      <c r="F105" s="7">
        <v>4614825.0</v>
      </c>
      <c r="G105" s="7">
        <v>3342307.0</v>
      </c>
      <c r="H105" s="7">
        <v>2864085.0</v>
      </c>
      <c r="J105" s="7">
        <v>239915.0</v>
      </c>
      <c r="K105" s="7">
        <v>8165142.0</v>
      </c>
      <c r="L105" s="7">
        <v>194598.0</v>
      </c>
      <c r="M105" s="7">
        <v>1.1643941E7</v>
      </c>
      <c r="O105" s="10">
        <f t="shared" si="9"/>
        <v>50139378</v>
      </c>
      <c r="P105" s="12">
        <f t="shared" si="10"/>
        <v>1</v>
      </c>
    </row>
    <row r="106">
      <c r="A106" s="5" t="s">
        <v>24</v>
      </c>
      <c r="B106" s="14">
        <v>3812871.0</v>
      </c>
      <c r="C106" s="7">
        <v>3306990.0</v>
      </c>
      <c r="D106" s="14">
        <v>99000.0</v>
      </c>
      <c r="E106" s="7">
        <v>5550660.0</v>
      </c>
      <c r="F106" s="7">
        <v>3076550.0</v>
      </c>
      <c r="G106" s="7">
        <v>2228204.0</v>
      </c>
      <c r="H106" s="7">
        <v>1909390.0</v>
      </c>
      <c r="J106" s="7">
        <v>159943.0</v>
      </c>
      <c r="K106" s="7">
        <v>5448854.0</v>
      </c>
      <c r="L106" s="7">
        <v>129732.0</v>
      </c>
      <c r="M106" s="7">
        <v>7762627.0</v>
      </c>
      <c r="O106" s="10">
        <f t="shared" si="9"/>
        <v>33484821</v>
      </c>
      <c r="P106" s="12">
        <f t="shared" si="10"/>
        <v>0.6678347905</v>
      </c>
    </row>
    <row r="107">
      <c r="A107" s="5" t="s">
        <v>25</v>
      </c>
      <c r="B107" s="14">
        <v>5717360.0</v>
      </c>
      <c r="C107" s="7">
        <v>4904882.0</v>
      </c>
      <c r="D107" s="14">
        <v>148500.0</v>
      </c>
      <c r="E107" s="7">
        <v>8303823.0</v>
      </c>
      <c r="F107" s="7">
        <v>4614825.0</v>
      </c>
      <c r="G107" s="7">
        <v>3342307.0</v>
      </c>
      <c r="H107" s="7">
        <v>2864085.0</v>
      </c>
      <c r="J107" s="7">
        <v>239915.0</v>
      </c>
      <c r="K107" s="7">
        <v>8165142.0</v>
      </c>
      <c r="L107" s="7">
        <v>194598.0</v>
      </c>
      <c r="M107" s="7">
        <v>1.1643941E7</v>
      </c>
      <c r="O107" s="10">
        <f t="shared" si="9"/>
        <v>50139378</v>
      </c>
      <c r="P107" s="12">
        <f t="shared" si="10"/>
        <v>1</v>
      </c>
    </row>
    <row r="108">
      <c r="A108" s="5" t="s">
        <v>26</v>
      </c>
      <c r="B108" s="14">
        <v>5717360.0</v>
      </c>
      <c r="C108" s="7">
        <v>4904882.0</v>
      </c>
      <c r="D108" s="14">
        <v>148500.0</v>
      </c>
      <c r="E108" s="7">
        <v>8303823.0</v>
      </c>
      <c r="F108" s="7">
        <v>4614825.0</v>
      </c>
      <c r="G108" s="7">
        <v>3342307.0</v>
      </c>
      <c r="H108" s="7">
        <v>2864085.0</v>
      </c>
      <c r="J108" s="7">
        <v>239915.0</v>
      </c>
      <c r="K108" s="7">
        <v>8165142.0</v>
      </c>
      <c r="L108" s="7">
        <v>194598.0</v>
      </c>
      <c r="M108" s="7">
        <v>1.1643941E7</v>
      </c>
      <c r="O108" s="10">
        <f t="shared" si="9"/>
        <v>50139378</v>
      </c>
      <c r="P108" s="12">
        <f t="shared" si="10"/>
        <v>1</v>
      </c>
    </row>
    <row r="109">
      <c r="A109" s="5" t="s">
        <v>27</v>
      </c>
      <c r="B109" s="14">
        <v>5717360.0</v>
      </c>
      <c r="C109" s="7">
        <v>4904882.0</v>
      </c>
      <c r="D109" s="14">
        <v>148500.0</v>
      </c>
      <c r="E109" s="7">
        <v>8303823.0</v>
      </c>
      <c r="F109" s="7">
        <v>4614825.0</v>
      </c>
      <c r="G109" s="7">
        <v>3342307.0</v>
      </c>
      <c r="H109" s="7">
        <v>2864085.0</v>
      </c>
      <c r="J109" s="7">
        <v>239915.0</v>
      </c>
      <c r="K109" s="7">
        <v>8165142.0</v>
      </c>
      <c r="L109" s="7">
        <v>194598.0</v>
      </c>
      <c r="M109" s="7">
        <v>1.1643941E7</v>
      </c>
      <c r="O109" s="10">
        <f t="shared" si="9"/>
        <v>50139378</v>
      </c>
      <c r="P109" s="12">
        <f t="shared" si="10"/>
        <v>1</v>
      </c>
    </row>
    <row r="110">
      <c r="A110" s="5" t="s">
        <v>28</v>
      </c>
      <c r="B110" s="14">
        <v>2957444.0</v>
      </c>
      <c r="C110" s="7">
        <v>2281818.0</v>
      </c>
      <c r="D110" s="14">
        <v>51975.0</v>
      </c>
      <c r="E110" s="7">
        <v>3898535.0</v>
      </c>
      <c r="F110" s="7">
        <v>2081303.0</v>
      </c>
      <c r="G110" s="7">
        <v>1958208.0</v>
      </c>
      <c r="H110" s="7">
        <v>542392.0</v>
      </c>
      <c r="J110" s="7">
        <v>50320.0</v>
      </c>
      <c r="K110" s="7">
        <v>4378326.0</v>
      </c>
      <c r="L110" s="7">
        <v>40815.0</v>
      </c>
      <c r="M110" s="7">
        <v>2648298.0</v>
      </c>
      <c r="O110" s="10">
        <f t="shared" si="9"/>
        <v>20889434</v>
      </c>
      <c r="P110" s="12">
        <f t="shared" si="10"/>
        <v>0.4166273064</v>
      </c>
    </row>
    <row r="111">
      <c r="A111" s="5" t="s">
        <v>29</v>
      </c>
      <c r="B111" s="14">
        <v>5717360.0</v>
      </c>
      <c r="C111" s="7">
        <v>4904882.0</v>
      </c>
      <c r="D111" s="14">
        <v>148500.0</v>
      </c>
      <c r="E111" s="7">
        <v>8303823.0</v>
      </c>
      <c r="F111" s="7">
        <v>4614825.0</v>
      </c>
      <c r="G111" s="7">
        <v>3342307.0</v>
      </c>
      <c r="H111" s="7">
        <v>2864085.0</v>
      </c>
      <c r="J111" s="7">
        <v>239915.0</v>
      </c>
      <c r="K111" s="7">
        <v>8165142.0</v>
      </c>
      <c r="L111" s="7">
        <v>194598.0</v>
      </c>
      <c r="M111" s="7">
        <v>1.1643941E7</v>
      </c>
      <c r="O111" s="10">
        <f t="shared" si="9"/>
        <v>50139378</v>
      </c>
      <c r="P111" s="12">
        <f t="shared" si="10"/>
        <v>1</v>
      </c>
    </row>
    <row r="112">
      <c r="A112" s="5" t="s">
        <v>30</v>
      </c>
      <c r="B112" s="14">
        <v>5717360.0</v>
      </c>
      <c r="C112" s="7">
        <v>4904882.0</v>
      </c>
      <c r="D112" s="14">
        <v>148500.0</v>
      </c>
      <c r="E112" s="7">
        <v>8303823.0</v>
      </c>
      <c r="F112" s="7">
        <v>4614825.0</v>
      </c>
      <c r="G112" s="7">
        <v>3342307.0</v>
      </c>
      <c r="H112" s="7">
        <v>2864085.0</v>
      </c>
      <c r="J112" s="7">
        <v>239915.0</v>
      </c>
      <c r="K112" s="7">
        <v>8165142.0</v>
      </c>
      <c r="L112" s="7">
        <v>194598.0</v>
      </c>
      <c r="M112" s="7">
        <v>1.1643941E7</v>
      </c>
      <c r="O112" s="10">
        <f t="shared" si="9"/>
        <v>50139378</v>
      </c>
      <c r="P112" s="12">
        <f t="shared" si="10"/>
        <v>1</v>
      </c>
    </row>
    <row r="113">
      <c r="A113" s="5" t="s">
        <v>31</v>
      </c>
      <c r="B113" s="14">
        <v>4861119.0</v>
      </c>
      <c r="C113" s="7">
        <v>4208072.0</v>
      </c>
      <c r="D113" s="14">
        <v>126225.0</v>
      </c>
      <c r="E113" s="7">
        <v>7073766.0</v>
      </c>
      <c r="F113" s="7">
        <v>3922601.0</v>
      </c>
      <c r="G113" s="7">
        <v>2840961.0</v>
      </c>
      <c r="H113" s="7">
        <v>2434472.0</v>
      </c>
      <c r="J113" s="7">
        <v>203927.0</v>
      </c>
      <c r="K113" s="7">
        <v>6946068.0</v>
      </c>
      <c r="L113" s="7">
        <v>165408.0</v>
      </c>
      <c r="M113" s="7">
        <v>9897350.0</v>
      </c>
      <c r="O113" s="10">
        <f t="shared" si="9"/>
        <v>42679969</v>
      </c>
      <c r="P113" s="12">
        <f t="shared" si="10"/>
        <v>0.851226535</v>
      </c>
    </row>
    <row r="114">
      <c r="A114" s="5" t="s">
        <v>32</v>
      </c>
      <c r="B114" s="14">
        <v>5717360.0</v>
      </c>
      <c r="C114" s="7">
        <v>4904882.0</v>
      </c>
      <c r="D114" s="14">
        <v>148500.0</v>
      </c>
      <c r="E114" s="7">
        <v>8303823.0</v>
      </c>
      <c r="F114" s="7">
        <v>4614825.0</v>
      </c>
      <c r="G114" s="7">
        <v>3342307.0</v>
      </c>
      <c r="H114" s="7">
        <v>2864085.0</v>
      </c>
      <c r="J114" s="7">
        <v>239915.0</v>
      </c>
      <c r="K114" s="7">
        <v>8165142.0</v>
      </c>
      <c r="L114" s="7">
        <v>194598.0</v>
      </c>
      <c r="M114" s="7">
        <v>1.1643941E7</v>
      </c>
      <c r="O114" s="10">
        <f t="shared" si="9"/>
        <v>50139378</v>
      </c>
      <c r="P114" s="12">
        <f t="shared" si="10"/>
        <v>1</v>
      </c>
    </row>
    <row r="115">
      <c r="A115" s="4" t="s">
        <v>33</v>
      </c>
      <c r="B115" s="14">
        <v>5717360.0</v>
      </c>
      <c r="C115" s="7">
        <v>4904882.0</v>
      </c>
      <c r="D115" s="14">
        <v>148500.0</v>
      </c>
      <c r="E115" s="7">
        <v>8303823.0</v>
      </c>
      <c r="F115" s="7">
        <v>4614825.0</v>
      </c>
      <c r="G115" s="7">
        <v>3342307.0</v>
      </c>
      <c r="H115" s="7">
        <v>2864085.0</v>
      </c>
      <c r="J115" s="7">
        <v>239915.0</v>
      </c>
      <c r="K115" s="7">
        <v>8165142.0</v>
      </c>
      <c r="L115" s="7">
        <v>194598.0</v>
      </c>
      <c r="M115" s="7">
        <v>1.1643941E7</v>
      </c>
      <c r="O115" s="10">
        <f t="shared" si="9"/>
        <v>50139378</v>
      </c>
      <c r="P115" s="12">
        <f t="shared" si="10"/>
        <v>1</v>
      </c>
    </row>
    <row r="116">
      <c r="A116" s="5" t="s">
        <v>34</v>
      </c>
      <c r="B116" s="14">
        <v>5717360.0</v>
      </c>
      <c r="C116" s="7">
        <v>4904882.0</v>
      </c>
      <c r="D116" s="14">
        <v>148500.0</v>
      </c>
      <c r="E116" s="7">
        <v>8303823.0</v>
      </c>
      <c r="F116" s="7">
        <v>4614825.0</v>
      </c>
      <c r="G116" s="7">
        <v>3342307.0</v>
      </c>
      <c r="H116" s="7">
        <v>2864085.0</v>
      </c>
      <c r="J116" s="7">
        <v>239915.0</v>
      </c>
      <c r="K116" s="7">
        <v>8165142.0</v>
      </c>
      <c r="L116" s="7">
        <v>194598.0</v>
      </c>
      <c r="M116" s="7">
        <v>1.1643941E7</v>
      </c>
      <c r="O116" s="10">
        <f t="shared" si="9"/>
        <v>50139378</v>
      </c>
      <c r="P116" s="12">
        <f t="shared" si="10"/>
        <v>1</v>
      </c>
    </row>
    <row r="117">
      <c r="A117" s="5" t="s">
        <v>35</v>
      </c>
      <c r="B117" s="14">
        <v>4556728.0</v>
      </c>
      <c r="C117" s="7">
        <v>4101057.0</v>
      </c>
      <c r="D117" s="14">
        <v>126225.0</v>
      </c>
      <c r="E117" s="7">
        <v>6961720.0</v>
      </c>
      <c r="F117" s="7">
        <v>3713532.0</v>
      </c>
      <c r="G117" s="7">
        <v>2566478.0</v>
      </c>
      <c r="H117" s="7">
        <v>2434472.0</v>
      </c>
      <c r="J117" s="7">
        <v>203927.0</v>
      </c>
      <c r="K117" s="7">
        <v>6304995.0</v>
      </c>
      <c r="L117" s="7">
        <v>165408.0</v>
      </c>
      <c r="M117" s="7">
        <v>9897350.0</v>
      </c>
      <c r="O117" s="10">
        <f t="shared" si="9"/>
        <v>41031892</v>
      </c>
      <c r="P117" s="12">
        <f t="shared" si="10"/>
        <v>0.8183566218</v>
      </c>
    </row>
    <row r="118">
      <c r="A118" s="5" t="s">
        <v>36</v>
      </c>
      <c r="B118" s="14">
        <v>5717360.0</v>
      </c>
      <c r="C118" s="7">
        <v>4904882.0</v>
      </c>
      <c r="D118" s="14">
        <v>148500.0</v>
      </c>
      <c r="E118" s="7">
        <v>8303823.0</v>
      </c>
      <c r="F118" s="7">
        <v>4614825.0</v>
      </c>
      <c r="G118" s="7">
        <v>3342307.0</v>
      </c>
      <c r="H118" s="7">
        <v>2864085.0</v>
      </c>
      <c r="J118" s="7">
        <v>239915.0</v>
      </c>
      <c r="K118" s="7">
        <v>8165142.0</v>
      </c>
      <c r="L118" s="7">
        <v>194598.0</v>
      </c>
      <c r="M118" s="7">
        <v>1.1643941E7</v>
      </c>
      <c r="O118" s="10">
        <f t="shared" si="9"/>
        <v>50139378</v>
      </c>
      <c r="P118" s="12">
        <f t="shared" si="10"/>
        <v>1</v>
      </c>
    </row>
    <row r="119">
      <c r="A119" s="4" t="s">
        <v>37</v>
      </c>
      <c r="B119" s="14">
        <v>5717360.0</v>
      </c>
      <c r="C119" s="7">
        <v>4904882.0</v>
      </c>
      <c r="D119" s="14">
        <v>148500.0</v>
      </c>
      <c r="E119" s="7">
        <v>8303823.0</v>
      </c>
      <c r="F119" s="7">
        <v>4614825.0</v>
      </c>
      <c r="G119" s="7">
        <v>3342307.0</v>
      </c>
      <c r="H119" s="7">
        <v>2864085.0</v>
      </c>
      <c r="J119" s="7">
        <v>239915.0</v>
      </c>
      <c r="K119" s="7">
        <v>8165142.0</v>
      </c>
      <c r="L119" s="7">
        <v>194598.0</v>
      </c>
      <c r="M119" s="7">
        <v>1.1643941E7</v>
      </c>
      <c r="O119" s="10">
        <f t="shared" si="9"/>
        <v>50139378</v>
      </c>
      <c r="P119" s="12">
        <f t="shared" si="10"/>
        <v>1</v>
      </c>
    </row>
    <row r="120">
      <c r="O120" s="10">
        <f>SUM(O99:O119)</f>
        <v>968908441</v>
      </c>
    </row>
    <row r="122">
      <c r="B122" s="1">
        <v>46178.0</v>
      </c>
      <c r="C122" s="1">
        <v>46184.0</v>
      </c>
      <c r="D122" s="1">
        <v>46192.0</v>
      </c>
      <c r="E122" s="1">
        <v>46199.0</v>
      </c>
      <c r="J122" s="1">
        <v>46178.0</v>
      </c>
      <c r="K122" s="1">
        <v>46189.0</v>
      </c>
      <c r="L122" s="24">
        <v>46202.0</v>
      </c>
      <c r="M122" s="24">
        <v>46203.0</v>
      </c>
      <c r="O122" s="4" t="s">
        <v>4</v>
      </c>
    </row>
    <row r="123">
      <c r="A123" s="5" t="s">
        <v>5</v>
      </c>
      <c r="B123" s="7">
        <v>3097129.0</v>
      </c>
      <c r="C123" s="7">
        <v>1.0351629E7</v>
      </c>
      <c r="D123" s="7">
        <v>6003599.0</v>
      </c>
      <c r="E123" s="7">
        <v>1.2360931E7</v>
      </c>
      <c r="J123" s="7">
        <v>241905.0</v>
      </c>
      <c r="K123" s="7">
        <v>6518324.0</v>
      </c>
      <c r="L123" s="7">
        <v>368729.0</v>
      </c>
      <c r="M123" s="7">
        <v>2.0817149E7</v>
      </c>
      <c r="O123" s="10">
        <f t="shared" ref="O123:O143" si="11">SUM(B123:M123)</f>
        <v>59759395</v>
      </c>
      <c r="P123" s="12">
        <f t="shared" ref="P123:P143" si="12">O123/$O$123</f>
        <v>1</v>
      </c>
    </row>
    <row r="124">
      <c r="A124" s="5" t="s">
        <v>18</v>
      </c>
      <c r="B124" s="7">
        <v>3097129.0</v>
      </c>
      <c r="C124" s="7">
        <v>1.0351629E7</v>
      </c>
      <c r="D124" s="7">
        <v>6003599.0</v>
      </c>
      <c r="E124" s="7">
        <v>1.2360931E7</v>
      </c>
      <c r="J124" s="7">
        <v>241905.0</v>
      </c>
      <c r="K124" s="7">
        <v>6518324.0</v>
      </c>
      <c r="L124" s="7">
        <v>368729.0</v>
      </c>
      <c r="M124" s="7">
        <v>2.0817149E7</v>
      </c>
      <c r="O124" s="10">
        <f t="shared" si="11"/>
        <v>59759395</v>
      </c>
      <c r="P124" s="12">
        <f t="shared" si="12"/>
        <v>1</v>
      </c>
    </row>
    <row r="125">
      <c r="A125" s="4" t="s">
        <v>19</v>
      </c>
      <c r="B125" s="7">
        <v>3097129.0</v>
      </c>
      <c r="C125" s="7">
        <v>9972295.0</v>
      </c>
      <c r="D125" s="7">
        <v>5408951.0</v>
      </c>
      <c r="E125" s="7">
        <v>1.0941802E7</v>
      </c>
      <c r="J125" s="7">
        <v>205620.0</v>
      </c>
      <c r="K125" s="7">
        <v>6322742.0</v>
      </c>
      <c r="L125" s="7">
        <v>313419.0</v>
      </c>
      <c r="M125" s="7">
        <v>1.9057086E7</v>
      </c>
      <c r="O125" s="10">
        <f t="shared" si="11"/>
        <v>55319044</v>
      </c>
      <c r="P125" s="12">
        <f t="shared" si="12"/>
        <v>0.9256961855</v>
      </c>
    </row>
    <row r="126">
      <c r="A126" s="5" t="s">
        <v>20</v>
      </c>
      <c r="B126" s="7">
        <v>3097129.0</v>
      </c>
      <c r="C126" s="7">
        <v>1.0351629E7</v>
      </c>
      <c r="D126" s="7">
        <v>6003599.0</v>
      </c>
      <c r="E126" s="7">
        <v>1.2360931E7</v>
      </c>
      <c r="J126" s="7">
        <v>241905.0</v>
      </c>
      <c r="K126" s="7">
        <v>6518324.0</v>
      </c>
      <c r="L126" s="7">
        <v>368729.0</v>
      </c>
      <c r="M126" s="7">
        <v>2.0817149E7</v>
      </c>
      <c r="O126" s="10">
        <f t="shared" si="11"/>
        <v>59759395</v>
      </c>
      <c r="P126" s="12">
        <f t="shared" si="12"/>
        <v>1</v>
      </c>
    </row>
    <row r="127">
      <c r="A127" s="5" t="s">
        <v>21</v>
      </c>
      <c r="B127" s="7">
        <v>2867584.0</v>
      </c>
      <c r="C127" s="7">
        <v>9564928.0</v>
      </c>
      <c r="D127" s="7">
        <v>5354814.0</v>
      </c>
      <c r="E127" s="7">
        <v>1.0898459E7</v>
      </c>
      <c r="J127" s="7">
        <v>205620.0</v>
      </c>
      <c r="K127" s="7">
        <v>6119460.0</v>
      </c>
      <c r="L127" s="7">
        <v>313419.0</v>
      </c>
      <c r="M127" s="7">
        <v>1.8422396E7</v>
      </c>
      <c r="O127" s="10">
        <f t="shared" si="11"/>
        <v>53746680</v>
      </c>
      <c r="P127" s="12">
        <f t="shared" si="12"/>
        <v>0.8993846072</v>
      </c>
    </row>
    <row r="128">
      <c r="A128" s="5" t="s">
        <v>22</v>
      </c>
      <c r="B128" s="7">
        <v>2067778.0</v>
      </c>
      <c r="C128" s="7">
        <v>6901086.0</v>
      </c>
      <c r="D128" s="7">
        <v>4002399.0</v>
      </c>
      <c r="E128" s="7">
        <v>8240620.0</v>
      </c>
      <c r="J128" s="7">
        <v>161270.0</v>
      </c>
      <c r="K128" s="7">
        <v>4352270.0</v>
      </c>
      <c r="L128" s="7">
        <v>245819.0</v>
      </c>
      <c r="M128" s="7">
        <v>1.3892583E7</v>
      </c>
      <c r="O128" s="10">
        <f t="shared" si="11"/>
        <v>39863825</v>
      </c>
      <c r="P128" s="12">
        <f t="shared" si="12"/>
        <v>0.667072098</v>
      </c>
    </row>
    <row r="129">
      <c r="A129" s="5" t="s">
        <v>23</v>
      </c>
      <c r="B129" s="7">
        <v>3097129.0</v>
      </c>
      <c r="C129" s="7">
        <v>1.0351629E7</v>
      </c>
      <c r="D129" s="7">
        <v>6003599.0</v>
      </c>
      <c r="E129" s="7">
        <v>1.2360931E7</v>
      </c>
      <c r="J129" s="7">
        <v>241905.0</v>
      </c>
      <c r="K129" s="7">
        <v>6518324.0</v>
      </c>
      <c r="L129" s="7">
        <v>368729.0</v>
      </c>
      <c r="M129" s="7">
        <v>2.0817149E7</v>
      </c>
      <c r="O129" s="10">
        <f t="shared" si="11"/>
        <v>59759395</v>
      </c>
      <c r="P129" s="12">
        <f t="shared" si="12"/>
        <v>1</v>
      </c>
    </row>
    <row r="130">
      <c r="A130" s="5" t="s">
        <v>24</v>
      </c>
      <c r="B130" s="7">
        <v>2067778.0</v>
      </c>
      <c r="C130" s="7">
        <v>6901086.0</v>
      </c>
      <c r="D130" s="7">
        <v>4002399.0</v>
      </c>
      <c r="E130" s="7">
        <v>8240620.0</v>
      </c>
      <c r="J130" s="7">
        <v>161270.0</v>
      </c>
      <c r="K130" s="7">
        <v>4352270.0</v>
      </c>
      <c r="L130" s="7">
        <v>245819.0</v>
      </c>
      <c r="M130" s="7">
        <v>1.3892583E7</v>
      </c>
      <c r="O130" s="10">
        <f t="shared" si="11"/>
        <v>39863825</v>
      </c>
      <c r="P130" s="12">
        <f t="shared" si="12"/>
        <v>0.667072098</v>
      </c>
    </row>
    <row r="131">
      <c r="A131" s="5" t="s">
        <v>25</v>
      </c>
      <c r="B131" s="7">
        <v>3097129.0</v>
      </c>
      <c r="C131" s="7">
        <v>1.0351629E7</v>
      </c>
      <c r="D131" s="7">
        <v>6003599.0</v>
      </c>
      <c r="E131" s="7">
        <v>1.2360931E7</v>
      </c>
      <c r="J131" s="7">
        <v>241905.0</v>
      </c>
      <c r="K131" s="7">
        <v>6518324.0</v>
      </c>
      <c r="L131" s="7">
        <v>368729.0</v>
      </c>
      <c r="M131" s="7">
        <v>2.0817149E7</v>
      </c>
      <c r="O131" s="10">
        <f t="shared" si="11"/>
        <v>59759395</v>
      </c>
      <c r="P131" s="12">
        <f t="shared" si="12"/>
        <v>1</v>
      </c>
    </row>
    <row r="132">
      <c r="A132" s="5" t="s">
        <v>26</v>
      </c>
      <c r="B132" s="7">
        <v>3097129.0</v>
      </c>
      <c r="C132" s="7">
        <v>1.0351629E7</v>
      </c>
      <c r="D132" s="7">
        <v>6003599.0</v>
      </c>
      <c r="E132" s="7">
        <v>1.2360931E7</v>
      </c>
      <c r="J132" s="7">
        <v>241905.0</v>
      </c>
      <c r="K132" s="7">
        <v>6518324.0</v>
      </c>
      <c r="L132" s="7">
        <v>368729.0</v>
      </c>
      <c r="M132" s="7">
        <v>2.0817149E7</v>
      </c>
      <c r="O132" s="10">
        <f t="shared" si="11"/>
        <v>59759395</v>
      </c>
      <c r="P132" s="12">
        <f t="shared" si="12"/>
        <v>1</v>
      </c>
    </row>
    <row r="133">
      <c r="A133" s="5" t="s">
        <v>27</v>
      </c>
      <c r="B133" s="7">
        <v>3097129.0</v>
      </c>
      <c r="C133" s="7">
        <v>1.0351629E7</v>
      </c>
      <c r="D133" s="7">
        <v>6003599.0</v>
      </c>
      <c r="E133" s="7">
        <v>1.2360931E7</v>
      </c>
      <c r="J133" s="7">
        <v>241905.0</v>
      </c>
      <c r="K133" s="7">
        <v>6518324.0</v>
      </c>
      <c r="L133" s="7">
        <v>368729.0</v>
      </c>
      <c r="M133" s="7">
        <v>2.0817149E7</v>
      </c>
      <c r="O133" s="10">
        <f t="shared" si="11"/>
        <v>59759395</v>
      </c>
      <c r="P133" s="12">
        <f t="shared" si="12"/>
        <v>1</v>
      </c>
    </row>
    <row r="134">
      <c r="A134" s="5" t="s">
        <v>28</v>
      </c>
      <c r="B134" s="7">
        <v>1169329.0</v>
      </c>
      <c r="C134" s="7">
        <v>3583828.0</v>
      </c>
      <c r="D134" s="7">
        <v>1576148.0</v>
      </c>
      <c r="E134" s="7">
        <v>5026856.0</v>
      </c>
      <c r="J134" s="7">
        <v>42333.0</v>
      </c>
      <c r="K134" s="7">
        <v>2480394.0</v>
      </c>
      <c r="L134" s="7">
        <v>64527.0</v>
      </c>
      <c r="M134" s="7">
        <v>5459357.0</v>
      </c>
      <c r="O134" s="10">
        <f t="shared" si="11"/>
        <v>19402772</v>
      </c>
      <c r="P134" s="12">
        <f t="shared" si="12"/>
        <v>0.3246815333</v>
      </c>
    </row>
    <row r="135">
      <c r="A135" s="5" t="s">
        <v>29</v>
      </c>
      <c r="B135" s="7">
        <v>3097129.0</v>
      </c>
      <c r="C135" s="7">
        <v>1.0351629E7</v>
      </c>
      <c r="D135" s="7">
        <v>6003599.0</v>
      </c>
      <c r="E135" s="7">
        <v>1.2360931E7</v>
      </c>
      <c r="J135" s="7">
        <v>241905.0</v>
      </c>
      <c r="K135" s="7">
        <v>6518324.0</v>
      </c>
      <c r="L135" s="7">
        <v>368729.0</v>
      </c>
      <c r="M135" s="7">
        <v>2.0817149E7</v>
      </c>
      <c r="O135" s="10">
        <f t="shared" si="11"/>
        <v>59759395</v>
      </c>
      <c r="P135" s="12">
        <f t="shared" si="12"/>
        <v>1</v>
      </c>
    </row>
    <row r="136">
      <c r="A136" s="5" t="s">
        <v>30</v>
      </c>
      <c r="B136" s="7">
        <v>3097129.0</v>
      </c>
      <c r="C136" s="7">
        <v>1.0351629E7</v>
      </c>
      <c r="D136" s="7">
        <v>6003599.0</v>
      </c>
      <c r="E136" s="7">
        <v>1.2360931E7</v>
      </c>
      <c r="J136" s="7">
        <v>241905.0</v>
      </c>
      <c r="K136" s="7">
        <v>6518324.0</v>
      </c>
      <c r="L136" s="7">
        <v>368729.0</v>
      </c>
      <c r="M136" s="7">
        <v>2.0817149E7</v>
      </c>
      <c r="O136" s="10">
        <f t="shared" si="11"/>
        <v>59759395</v>
      </c>
      <c r="P136" s="12">
        <f t="shared" si="12"/>
        <v>1</v>
      </c>
    </row>
    <row r="137">
      <c r="A137" s="5" t="s">
        <v>31</v>
      </c>
      <c r="B137" s="7">
        <v>2635736.0</v>
      </c>
      <c r="C137" s="7">
        <v>8798884.0</v>
      </c>
      <c r="D137" s="7">
        <v>5103059.0</v>
      </c>
      <c r="E137" s="7">
        <v>1.0506791E7</v>
      </c>
      <c r="J137" s="7">
        <v>205620.0</v>
      </c>
      <c r="K137" s="7">
        <v>5547632.0</v>
      </c>
      <c r="L137" s="7">
        <v>313419.0</v>
      </c>
      <c r="M137" s="7">
        <v>1.7709784E7</v>
      </c>
      <c r="O137" s="10">
        <f t="shared" si="11"/>
        <v>50820925</v>
      </c>
      <c r="P137" s="12">
        <f t="shared" si="12"/>
        <v>0.8504256946</v>
      </c>
    </row>
    <row r="138">
      <c r="A138" s="5" t="s">
        <v>32</v>
      </c>
      <c r="B138" s="7">
        <v>3097129.0</v>
      </c>
      <c r="C138" s="7">
        <v>1.0351629E7</v>
      </c>
      <c r="D138" s="7">
        <v>6003599.0</v>
      </c>
      <c r="E138" s="7">
        <v>1.2360931E7</v>
      </c>
      <c r="J138" s="7">
        <v>241905.0</v>
      </c>
      <c r="K138" s="7">
        <v>6518324.0</v>
      </c>
      <c r="L138" s="7">
        <v>368729.0</v>
      </c>
      <c r="M138" s="7">
        <v>2.0817149E7</v>
      </c>
      <c r="O138" s="10">
        <f t="shared" si="11"/>
        <v>59759395</v>
      </c>
      <c r="P138" s="12">
        <f t="shared" si="12"/>
        <v>1</v>
      </c>
    </row>
    <row r="139">
      <c r="A139" s="4" t="s">
        <v>33</v>
      </c>
      <c r="B139" s="7">
        <v>3088054.0</v>
      </c>
      <c r="C139" s="7">
        <v>1.0351629E7</v>
      </c>
      <c r="D139" s="7">
        <v>6003599.0</v>
      </c>
      <c r="E139" s="7">
        <v>1.2360931E7</v>
      </c>
      <c r="J139" s="7">
        <v>241905.0</v>
      </c>
      <c r="K139" s="7">
        <v>6518324.0</v>
      </c>
      <c r="L139" s="7">
        <v>368729.0</v>
      </c>
      <c r="M139" s="7">
        <v>2.0817149E7</v>
      </c>
      <c r="O139" s="10">
        <f t="shared" si="11"/>
        <v>59750320</v>
      </c>
      <c r="P139" s="12">
        <f t="shared" si="12"/>
        <v>0.999848141</v>
      </c>
    </row>
    <row r="140">
      <c r="A140" s="5" t="s">
        <v>34</v>
      </c>
      <c r="B140" s="7">
        <v>3097129.0</v>
      </c>
      <c r="C140" s="7">
        <v>1.0351629E7</v>
      </c>
      <c r="D140" s="7">
        <v>6003599.0</v>
      </c>
      <c r="E140" s="7">
        <v>1.2360931E7</v>
      </c>
      <c r="J140" s="7">
        <v>241905.0</v>
      </c>
      <c r="K140" s="7">
        <v>6518324.0</v>
      </c>
      <c r="L140" s="7">
        <v>368729.0</v>
      </c>
      <c r="M140" s="7">
        <v>2.0817149E7</v>
      </c>
      <c r="O140" s="10">
        <f t="shared" si="11"/>
        <v>59759395</v>
      </c>
      <c r="P140" s="12">
        <f t="shared" si="12"/>
        <v>1</v>
      </c>
    </row>
    <row r="141">
      <c r="A141" s="5" t="s">
        <v>35</v>
      </c>
      <c r="B141" s="7">
        <v>2615327.0</v>
      </c>
      <c r="C141" s="7">
        <v>8672274.0</v>
      </c>
      <c r="D141" s="7">
        <v>5102053.0</v>
      </c>
      <c r="E141" s="7">
        <v>1.0506791E7</v>
      </c>
      <c r="J141" s="7">
        <v>205620.0</v>
      </c>
      <c r="K141" s="7">
        <v>5533518.0</v>
      </c>
      <c r="L141" s="7">
        <v>313419.0</v>
      </c>
      <c r="M141" s="7">
        <v>1.767937E7</v>
      </c>
      <c r="O141" s="10">
        <f t="shared" si="11"/>
        <v>50628372</v>
      </c>
      <c r="P141" s="12">
        <f t="shared" si="12"/>
        <v>0.8472035569</v>
      </c>
    </row>
    <row r="142">
      <c r="A142" s="5" t="s">
        <v>36</v>
      </c>
      <c r="B142" s="7">
        <v>3097129.0</v>
      </c>
      <c r="C142" s="7">
        <v>1.0351629E7</v>
      </c>
      <c r="D142" s="7">
        <v>6003599.0</v>
      </c>
      <c r="E142" s="7">
        <v>1.2360931E7</v>
      </c>
      <c r="J142" s="7">
        <v>241905.0</v>
      </c>
      <c r="K142" s="7">
        <v>6518324.0</v>
      </c>
      <c r="L142" s="7">
        <v>368729.0</v>
      </c>
      <c r="M142" s="7">
        <v>2.0817149E7</v>
      </c>
      <c r="O142" s="10">
        <f t="shared" si="11"/>
        <v>59759395</v>
      </c>
      <c r="P142" s="12">
        <f t="shared" si="12"/>
        <v>1</v>
      </c>
    </row>
    <row r="143">
      <c r="A143" s="4" t="s">
        <v>37</v>
      </c>
      <c r="B143" s="7">
        <v>3088054.0</v>
      </c>
      <c r="C143" s="7">
        <v>1.0351629E7</v>
      </c>
      <c r="D143" s="7">
        <v>6003599.0</v>
      </c>
      <c r="E143" s="7">
        <v>1.2360931E7</v>
      </c>
      <c r="J143" s="7">
        <v>241905.0</v>
      </c>
      <c r="K143" s="7">
        <v>6518324.0</v>
      </c>
      <c r="L143" s="7">
        <v>368729.0</v>
      </c>
      <c r="M143" s="7">
        <v>2.0817149E7</v>
      </c>
      <c r="O143" s="10">
        <f t="shared" si="11"/>
        <v>59750320</v>
      </c>
      <c r="P143" s="12">
        <f t="shared" si="12"/>
        <v>0.999848141</v>
      </c>
    </row>
    <row r="144">
      <c r="O144" s="10">
        <f>SUM(O123:O143)</f>
        <v>1146258823</v>
      </c>
    </row>
    <row r="146">
      <c r="B146" s="1">
        <v>46205.0</v>
      </c>
      <c r="C146" s="24">
        <v>46211.0</v>
      </c>
      <c r="D146" s="24">
        <v>46220.0</v>
      </c>
      <c r="J146" s="1">
        <v>46208.0</v>
      </c>
      <c r="K146" s="1">
        <v>46219.0</v>
      </c>
      <c r="O146" s="4" t="s">
        <v>4</v>
      </c>
    </row>
    <row r="147">
      <c r="A147" s="5" t="s">
        <v>5</v>
      </c>
      <c r="B147" s="7">
        <v>2360250.0</v>
      </c>
      <c r="C147" s="8">
        <v>1929418.0</v>
      </c>
      <c r="D147" s="7">
        <v>4464238.0</v>
      </c>
      <c r="J147" s="7">
        <v>394428.0</v>
      </c>
      <c r="K147" s="7">
        <v>3315621.0</v>
      </c>
      <c r="O147" s="10">
        <f t="shared" ref="O147:O167" si="13">SUM(B147:M147)</f>
        <v>12463955</v>
      </c>
      <c r="P147" s="12">
        <f t="shared" ref="P147:P167" si="14">O147/$O$147</f>
        <v>1</v>
      </c>
    </row>
    <row r="148">
      <c r="A148" s="5" t="s">
        <v>18</v>
      </c>
      <c r="B148" s="7">
        <v>2360250.0</v>
      </c>
      <c r="C148" s="14">
        <v>1929418.0</v>
      </c>
      <c r="D148" s="7">
        <v>4464238.0</v>
      </c>
      <c r="J148" s="7">
        <v>394428.0</v>
      </c>
      <c r="K148" s="7">
        <v>3315621.0</v>
      </c>
      <c r="O148" s="10">
        <f t="shared" si="13"/>
        <v>12463955</v>
      </c>
      <c r="P148" s="12">
        <f t="shared" si="14"/>
        <v>1</v>
      </c>
    </row>
    <row r="149">
      <c r="A149" s="4" t="s">
        <v>19</v>
      </c>
      <c r="B149" s="7">
        <v>2238953.0</v>
      </c>
      <c r="C149" s="14">
        <v>1640005.0</v>
      </c>
      <c r="D149" s="7">
        <v>3797804.0</v>
      </c>
      <c r="J149" s="7">
        <v>346483.0</v>
      </c>
      <c r="K149" s="7">
        <v>2901219.0</v>
      </c>
      <c r="O149" s="10">
        <f t="shared" si="13"/>
        <v>10924464</v>
      </c>
      <c r="P149" s="12">
        <f t="shared" si="14"/>
        <v>0.8764845509</v>
      </c>
    </row>
    <row r="150">
      <c r="A150" s="5" t="s">
        <v>20</v>
      </c>
      <c r="B150" s="7">
        <v>2360250.0</v>
      </c>
      <c r="C150" s="14">
        <v>1929418.0</v>
      </c>
      <c r="D150" s="7">
        <v>4464238.0</v>
      </c>
      <c r="J150" s="7">
        <v>394428.0</v>
      </c>
      <c r="K150" s="7">
        <v>3315621.0</v>
      </c>
      <c r="O150" s="10">
        <f t="shared" si="13"/>
        <v>12463955</v>
      </c>
      <c r="P150" s="12">
        <f t="shared" si="14"/>
        <v>1</v>
      </c>
    </row>
    <row r="151">
      <c r="A151" s="5" t="s">
        <v>21</v>
      </c>
      <c r="B151" s="7">
        <v>2238953.0</v>
      </c>
      <c r="C151" s="14">
        <v>1640005.0</v>
      </c>
      <c r="D151" s="7">
        <v>3797804.0</v>
      </c>
      <c r="J151" s="7">
        <v>344466.0</v>
      </c>
      <c r="K151" s="7">
        <v>2901219.0</v>
      </c>
      <c r="O151" s="10">
        <f t="shared" si="13"/>
        <v>10922447</v>
      </c>
      <c r="P151" s="12">
        <f t="shared" si="14"/>
        <v>0.8763227242</v>
      </c>
    </row>
    <row r="152">
      <c r="A152" s="5" t="s">
        <v>22</v>
      </c>
      <c r="B152" s="7">
        <v>1573500.0</v>
      </c>
      <c r="C152" s="14">
        <v>1286279.0</v>
      </c>
      <c r="D152" s="7">
        <v>2976159.0</v>
      </c>
      <c r="J152" s="7">
        <v>262952.0</v>
      </c>
      <c r="K152" s="7">
        <v>2236745.0</v>
      </c>
      <c r="O152" s="10">
        <f t="shared" si="13"/>
        <v>8335635</v>
      </c>
      <c r="P152" s="12">
        <f t="shared" si="14"/>
        <v>0.668779292</v>
      </c>
    </row>
    <row r="153">
      <c r="A153" s="5" t="s">
        <v>23</v>
      </c>
      <c r="B153" s="7">
        <v>2360250.0</v>
      </c>
      <c r="C153" s="14">
        <v>1929418.0</v>
      </c>
      <c r="D153" s="7">
        <v>4464238.0</v>
      </c>
      <c r="J153" s="7">
        <v>394428.0</v>
      </c>
      <c r="K153" s="7">
        <v>3315621.0</v>
      </c>
      <c r="O153" s="10">
        <f t="shared" si="13"/>
        <v>12463955</v>
      </c>
      <c r="P153" s="12">
        <f t="shared" si="14"/>
        <v>1</v>
      </c>
    </row>
    <row r="154">
      <c r="A154" s="5" t="s">
        <v>24</v>
      </c>
      <c r="B154" s="7">
        <v>1573500.0</v>
      </c>
      <c r="C154" s="14">
        <v>1286279.0</v>
      </c>
      <c r="D154" s="7">
        <v>2976159.0</v>
      </c>
      <c r="J154" s="7">
        <v>262952.0</v>
      </c>
      <c r="K154" s="7">
        <v>2236745.0</v>
      </c>
      <c r="O154" s="10">
        <f t="shared" si="13"/>
        <v>8335635</v>
      </c>
      <c r="P154" s="12">
        <f t="shared" si="14"/>
        <v>0.668779292</v>
      </c>
    </row>
    <row r="155">
      <c r="A155" s="5" t="s">
        <v>25</v>
      </c>
      <c r="B155" s="7">
        <v>2360250.0</v>
      </c>
      <c r="C155" s="14">
        <v>1929418.0</v>
      </c>
      <c r="D155" s="7">
        <v>4464238.0</v>
      </c>
      <c r="J155" s="7">
        <v>394428.0</v>
      </c>
      <c r="K155" s="7">
        <v>3315621.0</v>
      </c>
      <c r="O155" s="10">
        <f t="shared" si="13"/>
        <v>12463955</v>
      </c>
      <c r="P155" s="12">
        <f t="shared" si="14"/>
        <v>1</v>
      </c>
    </row>
    <row r="156">
      <c r="A156" s="5" t="s">
        <v>26</v>
      </c>
      <c r="B156" s="7">
        <v>2360250.0</v>
      </c>
      <c r="C156" s="14">
        <v>1929418.0</v>
      </c>
      <c r="D156" s="7">
        <v>4464238.0</v>
      </c>
      <c r="J156" s="7">
        <v>394428.0</v>
      </c>
      <c r="K156" s="7">
        <v>3315621.0</v>
      </c>
      <c r="O156" s="10">
        <f t="shared" si="13"/>
        <v>12463955</v>
      </c>
      <c r="P156" s="12">
        <f t="shared" si="14"/>
        <v>1</v>
      </c>
    </row>
    <row r="157">
      <c r="A157" s="5" t="s">
        <v>27</v>
      </c>
      <c r="B157" s="7">
        <v>2360250.0</v>
      </c>
      <c r="C157" s="14">
        <v>1929418.0</v>
      </c>
      <c r="D157" s="7">
        <v>4464238.0</v>
      </c>
      <c r="J157" s="7">
        <v>394428.0</v>
      </c>
      <c r="K157" s="7">
        <v>3315621.0</v>
      </c>
      <c r="O157" s="10">
        <f t="shared" si="13"/>
        <v>12463955</v>
      </c>
      <c r="P157" s="12">
        <f t="shared" si="14"/>
        <v>1</v>
      </c>
    </row>
    <row r="158">
      <c r="A158" s="5" t="s">
        <v>28</v>
      </c>
      <c r="B158" s="7">
        <v>887672.0</v>
      </c>
      <c r="C158" s="14">
        <v>885027.0</v>
      </c>
      <c r="D158" s="7">
        <v>2943509.0</v>
      </c>
      <c r="J158" s="7">
        <v>93677.0</v>
      </c>
      <c r="K158" s="7">
        <v>943771.0</v>
      </c>
      <c r="O158" s="10">
        <f t="shared" si="13"/>
        <v>5753656</v>
      </c>
      <c r="P158" s="12">
        <f t="shared" si="14"/>
        <v>0.4616236179</v>
      </c>
    </row>
    <row r="159">
      <c r="A159" s="5" t="s">
        <v>29</v>
      </c>
      <c r="B159" s="7">
        <v>2360250.0</v>
      </c>
      <c r="C159" s="14">
        <v>1929418.0</v>
      </c>
      <c r="D159" s="7">
        <v>4464238.0</v>
      </c>
      <c r="J159" s="7">
        <v>394428.0</v>
      </c>
      <c r="K159" s="7">
        <v>3315621.0</v>
      </c>
      <c r="O159" s="10">
        <f t="shared" si="13"/>
        <v>12463955</v>
      </c>
      <c r="P159" s="12">
        <f t="shared" si="14"/>
        <v>1</v>
      </c>
    </row>
    <row r="160">
      <c r="A160" s="5" t="s">
        <v>30</v>
      </c>
      <c r="B160" s="7">
        <v>2360250.0</v>
      </c>
      <c r="C160" s="14">
        <v>1929418.0</v>
      </c>
      <c r="D160" s="7">
        <v>4464238.0</v>
      </c>
      <c r="J160" s="7">
        <v>394428.0</v>
      </c>
      <c r="K160" s="7">
        <v>3315621.0</v>
      </c>
      <c r="O160" s="10">
        <f t="shared" si="13"/>
        <v>12463955</v>
      </c>
      <c r="P160" s="12">
        <f t="shared" si="14"/>
        <v>1</v>
      </c>
    </row>
    <row r="161">
      <c r="A161" s="5" t="s">
        <v>31</v>
      </c>
      <c r="B161" s="7">
        <v>2006213.0</v>
      </c>
      <c r="C161" s="14">
        <v>1640005.0</v>
      </c>
      <c r="D161" s="7">
        <v>3794602.0</v>
      </c>
      <c r="J161" s="7">
        <v>335263.0</v>
      </c>
      <c r="K161" s="7">
        <v>2845925.0</v>
      </c>
      <c r="O161" s="10">
        <f t="shared" si="13"/>
        <v>10622008</v>
      </c>
      <c r="P161" s="12">
        <f t="shared" si="14"/>
        <v>0.8522180961</v>
      </c>
    </row>
    <row r="162">
      <c r="A162" s="5" t="s">
        <v>32</v>
      </c>
      <c r="B162" s="7">
        <v>2360250.0</v>
      </c>
      <c r="C162" s="14">
        <v>1929418.0</v>
      </c>
      <c r="D162" s="7">
        <v>4464238.0</v>
      </c>
      <c r="J162" s="7">
        <v>394428.0</v>
      </c>
      <c r="K162" s="7">
        <v>3315621.0</v>
      </c>
      <c r="O162" s="10">
        <f t="shared" si="13"/>
        <v>12463955</v>
      </c>
      <c r="P162" s="12">
        <f t="shared" si="14"/>
        <v>1</v>
      </c>
    </row>
    <row r="163">
      <c r="A163" s="4" t="s">
        <v>33</v>
      </c>
      <c r="B163" s="7">
        <v>2360250.0</v>
      </c>
      <c r="C163" s="14">
        <v>1929418.0</v>
      </c>
      <c r="D163" s="7">
        <v>4464238.0</v>
      </c>
      <c r="J163" s="7">
        <v>394428.0</v>
      </c>
      <c r="K163" s="7">
        <v>3315621.0</v>
      </c>
      <c r="O163" s="10">
        <f t="shared" si="13"/>
        <v>12463955</v>
      </c>
      <c r="P163" s="12">
        <f t="shared" si="14"/>
        <v>1</v>
      </c>
    </row>
    <row r="164">
      <c r="A164" s="5" t="s">
        <v>34</v>
      </c>
      <c r="B164" s="7">
        <v>2360250.0</v>
      </c>
      <c r="C164" s="14">
        <v>1929418.0</v>
      </c>
      <c r="D164" s="7">
        <v>4464238.0</v>
      </c>
      <c r="J164" s="7">
        <v>394428.0</v>
      </c>
      <c r="K164" s="7">
        <v>3315621.0</v>
      </c>
      <c r="O164" s="10">
        <f t="shared" si="13"/>
        <v>12463955</v>
      </c>
      <c r="P164" s="12">
        <f t="shared" si="14"/>
        <v>1</v>
      </c>
    </row>
    <row r="165">
      <c r="A165" s="5" t="s">
        <v>35</v>
      </c>
      <c r="B165" s="7">
        <v>2006213.0</v>
      </c>
      <c r="C165" s="14">
        <v>1640005.0</v>
      </c>
      <c r="D165" s="7">
        <v>3791401.0</v>
      </c>
      <c r="J165" s="7">
        <v>331426.0</v>
      </c>
      <c r="K165" s="7">
        <v>2790631.0</v>
      </c>
      <c r="O165" s="10">
        <f t="shared" si="13"/>
        <v>10559676</v>
      </c>
      <c r="P165" s="12">
        <f t="shared" si="14"/>
        <v>0.8472171153</v>
      </c>
    </row>
    <row r="166">
      <c r="A166" s="5" t="s">
        <v>36</v>
      </c>
      <c r="B166" s="7">
        <v>2360250.0</v>
      </c>
      <c r="C166" s="14">
        <v>1929418.0</v>
      </c>
      <c r="D166" s="7">
        <v>4464238.0</v>
      </c>
      <c r="J166" s="7">
        <v>394428.0</v>
      </c>
      <c r="K166" s="7">
        <v>3315621.0</v>
      </c>
      <c r="O166" s="10">
        <f t="shared" si="13"/>
        <v>12463955</v>
      </c>
      <c r="P166" s="12">
        <f t="shared" si="14"/>
        <v>1</v>
      </c>
    </row>
    <row r="167">
      <c r="A167" s="4" t="s">
        <v>37</v>
      </c>
      <c r="B167" s="7">
        <v>2360250.0</v>
      </c>
      <c r="C167" s="14">
        <v>1929418.0</v>
      </c>
      <c r="D167" s="7">
        <v>4464238.0</v>
      </c>
      <c r="J167" s="7">
        <v>394428.0</v>
      </c>
      <c r="K167" s="7">
        <v>3315621.0</v>
      </c>
      <c r="O167" s="10">
        <f t="shared" si="13"/>
        <v>12463955</v>
      </c>
      <c r="P167" s="12">
        <f t="shared" si="14"/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57"/>
    <col customWidth="1" min="2" max="3" width="15.57"/>
  </cols>
  <sheetData>
    <row r="1">
      <c r="B1" s="1" t="s">
        <v>0</v>
      </c>
      <c r="C1" s="1" t="s">
        <v>1</v>
      </c>
      <c r="D1" s="1" t="s">
        <v>2</v>
      </c>
      <c r="E1" s="1">
        <v>45678.0</v>
      </c>
      <c r="F1" s="1">
        <v>45680.0</v>
      </c>
      <c r="G1" s="1">
        <v>45688.0</v>
      </c>
      <c r="H1" s="1"/>
      <c r="I1" s="1"/>
      <c r="J1" s="1">
        <v>45662.0</v>
      </c>
      <c r="K1" s="1">
        <v>45672.0</v>
      </c>
      <c r="L1" s="1">
        <v>45685.0</v>
      </c>
      <c r="M1" s="1">
        <v>45688.0</v>
      </c>
      <c r="O1" s="4" t="s">
        <v>4</v>
      </c>
    </row>
    <row r="2">
      <c r="A2" s="5" t="s">
        <v>5</v>
      </c>
      <c r="B2" s="7">
        <v>924914.0</v>
      </c>
      <c r="C2" s="7">
        <v>772916.0</v>
      </c>
      <c r="D2" s="7">
        <v>1.035926E7</v>
      </c>
      <c r="E2" s="7">
        <v>398879.0</v>
      </c>
      <c r="F2" s="7">
        <v>4173672.0</v>
      </c>
      <c r="G2" s="7">
        <v>5557400.0</v>
      </c>
      <c r="K2" s="7">
        <v>2.0929433E7</v>
      </c>
      <c r="L2" s="7">
        <v>337408.0</v>
      </c>
      <c r="M2" s="7">
        <v>9945079.0</v>
      </c>
      <c r="O2" s="10">
        <f t="shared" ref="O2:O22" si="1">SUM(B2:N2)</f>
        <v>53398961</v>
      </c>
      <c r="P2" s="12">
        <f t="shared" ref="P2:P22" si="2">O2/$O$2</f>
        <v>1</v>
      </c>
    </row>
    <row r="3">
      <c r="A3" s="5" t="s">
        <v>18</v>
      </c>
      <c r="B3" s="7">
        <v>924914.0</v>
      </c>
      <c r="C3" s="7">
        <v>772916.0</v>
      </c>
      <c r="D3" s="7">
        <v>1.035926E7</v>
      </c>
      <c r="E3" s="7">
        <v>398879.0</v>
      </c>
      <c r="F3" s="7">
        <v>4173672.0</v>
      </c>
      <c r="G3" s="7">
        <v>5557400.0</v>
      </c>
      <c r="K3" s="7">
        <v>2.0929433E7</v>
      </c>
      <c r="L3" s="7">
        <v>337408.0</v>
      </c>
      <c r="M3" s="7">
        <v>9945079.0</v>
      </c>
      <c r="O3" s="10">
        <f t="shared" si="1"/>
        <v>53398961</v>
      </c>
      <c r="P3" s="12">
        <f t="shared" si="2"/>
        <v>1</v>
      </c>
    </row>
    <row r="4">
      <c r="A4" s="4" t="s">
        <v>19</v>
      </c>
      <c r="B4" s="7">
        <v>924914.0</v>
      </c>
      <c r="C4" s="7">
        <v>772916.0</v>
      </c>
      <c r="D4" s="7">
        <v>9858028.0</v>
      </c>
      <c r="E4" s="7">
        <v>398879.0</v>
      </c>
      <c r="F4" s="7">
        <v>4173672.0</v>
      </c>
      <c r="G4" s="7">
        <v>5447158.0</v>
      </c>
      <c r="K4" s="7">
        <v>2.0893708E7</v>
      </c>
      <c r="L4" s="7">
        <v>337408.0</v>
      </c>
      <c r="M4" s="7">
        <v>9914336.0</v>
      </c>
      <c r="O4" s="10">
        <f t="shared" si="1"/>
        <v>52721019</v>
      </c>
      <c r="P4" s="12">
        <f t="shared" si="2"/>
        <v>0.9873042099</v>
      </c>
    </row>
    <row r="5">
      <c r="A5" s="5" t="s">
        <v>20</v>
      </c>
      <c r="B5" s="7">
        <v>924914.0</v>
      </c>
      <c r="C5" s="7">
        <v>772916.0</v>
      </c>
      <c r="D5" s="7">
        <v>1.035926E7</v>
      </c>
      <c r="E5" s="7">
        <v>398879.0</v>
      </c>
      <c r="F5" s="7">
        <v>4173672.0</v>
      </c>
      <c r="G5" s="7">
        <v>5557400.0</v>
      </c>
      <c r="K5" s="7">
        <v>2.0929433E7</v>
      </c>
      <c r="L5" s="7">
        <v>337408.0</v>
      </c>
      <c r="M5" s="7">
        <v>9945079.0</v>
      </c>
      <c r="O5" s="10">
        <f t="shared" si="1"/>
        <v>53398961</v>
      </c>
      <c r="P5" s="12">
        <f t="shared" si="2"/>
        <v>1</v>
      </c>
    </row>
    <row r="6">
      <c r="A6" s="5" t="s">
        <v>21</v>
      </c>
      <c r="B6" s="7">
        <v>924914.0</v>
      </c>
      <c r="C6" s="7">
        <v>772916.0</v>
      </c>
      <c r="D6" s="7">
        <v>1.035926E7</v>
      </c>
      <c r="E6" s="7">
        <v>319386.0</v>
      </c>
      <c r="F6" s="7">
        <v>4173672.0</v>
      </c>
      <c r="G6" s="7">
        <v>5557400.0</v>
      </c>
      <c r="K6" s="7">
        <v>2.0929433E7</v>
      </c>
      <c r="L6" s="7">
        <v>337408.0</v>
      </c>
      <c r="M6" s="7">
        <v>9945079.0</v>
      </c>
      <c r="O6" s="10">
        <f t="shared" si="1"/>
        <v>53319468</v>
      </c>
      <c r="P6" s="12">
        <f t="shared" si="2"/>
        <v>0.9985113381</v>
      </c>
    </row>
    <row r="7">
      <c r="A7" s="5" t="s">
        <v>22</v>
      </c>
      <c r="B7" s="7">
        <v>660653.0</v>
      </c>
      <c r="C7" s="7">
        <v>552082.0</v>
      </c>
      <c r="D7" s="7">
        <v>7399471.0</v>
      </c>
      <c r="E7" s="7">
        <v>364407.0</v>
      </c>
      <c r="F7" s="7">
        <v>2981194.0</v>
      </c>
      <c r="G7" s="7">
        <v>3969571.0</v>
      </c>
      <c r="K7" s="7">
        <v>1.4949595E7</v>
      </c>
      <c r="L7" s="7">
        <v>241006.0</v>
      </c>
      <c r="M7" s="7">
        <v>7103628.0</v>
      </c>
      <c r="O7" s="10">
        <f t="shared" si="1"/>
        <v>38221607</v>
      </c>
      <c r="P7" s="12">
        <f t="shared" si="2"/>
        <v>0.7157743575</v>
      </c>
    </row>
    <row r="8">
      <c r="A8" s="5" t="s">
        <v>23</v>
      </c>
      <c r="B8" s="7">
        <v>924914.0</v>
      </c>
      <c r="C8" s="7">
        <v>772916.0</v>
      </c>
      <c r="D8" s="7">
        <v>1.035926E7</v>
      </c>
      <c r="E8" s="7">
        <v>398879.0</v>
      </c>
      <c r="F8" s="7">
        <v>4173672.0</v>
      </c>
      <c r="G8" s="7">
        <v>5557400.0</v>
      </c>
      <c r="K8" s="7">
        <v>2.0929433E7</v>
      </c>
      <c r="L8" s="7">
        <v>337408.0</v>
      </c>
      <c r="M8" s="7">
        <v>9945079.0</v>
      </c>
      <c r="O8" s="10">
        <f t="shared" si="1"/>
        <v>53398961</v>
      </c>
      <c r="P8" s="12">
        <f t="shared" si="2"/>
        <v>1</v>
      </c>
    </row>
    <row r="9">
      <c r="A9" s="5" t="s">
        <v>24</v>
      </c>
      <c r="B9" s="7">
        <v>660653.0</v>
      </c>
      <c r="C9" s="7">
        <v>552082.0</v>
      </c>
      <c r="D9" s="7">
        <v>7399471.0</v>
      </c>
      <c r="E9" s="7">
        <v>284914.0</v>
      </c>
      <c r="F9" s="7">
        <v>2981194.0</v>
      </c>
      <c r="G9" s="7">
        <v>3969571.0</v>
      </c>
      <c r="K9" s="7">
        <v>1.4949595E7</v>
      </c>
      <c r="L9" s="7">
        <v>241006.0</v>
      </c>
      <c r="M9" s="7">
        <v>7103628.0</v>
      </c>
      <c r="O9" s="10">
        <f t="shared" si="1"/>
        <v>38142114</v>
      </c>
      <c r="P9" s="12">
        <f t="shared" si="2"/>
        <v>0.7142856956</v>
      </c>
    </row>
    <row r="10">
      <c r="A10" s="5" t="s">
        <v>25</v>
      </c>
      <c r="B10" s="7">
        <v>924914.0</v>
      </c>
      <c r="C10" s="7">
        <v>772916.0</v>
      </c>
      <c r="D10" s="7">
        <v>1.035926E7</v>
      </c>
      <c r="E10" s="7">
        <v>398879.0</v>
      </c>
      <c r="F10" s="7">
        <v>4173672.0</v>
      </c>
      <c r="G10" s="7">
        <v>5557400.0</v>
      </c>
      <c r="K10" s="7">
        <v>2.0929433E7</v>
      </c>
      <c r="L10" s="7">
        <v>337408.0</v>
      </c>
      <c r="M10" s="7">
        <v>9945079.0</v>
      </c>
      <c r="O10" s="10">
        <f t="shared" si="1"/>
        <v>53398961</v>
      </c>
      <c r="P10" s="12">
        <f t="shared" si="2"/>
        <v>1</v>
      </c>
    </row>
    <row r="11">
      <c r="A11" s="5" t="s">
        <v>26</v>
      </c>
      <c r="B11" s="7">
        <v>924914.0</v>
      </c>
      <c r="C11" s="7">
        <v>772916.0</v>
      </c>
      <c r="D11" s="7">
        <v>1.035926E7</v>
      </c>
      <c r="E11" s="7">
        <v>398879.0</v>
      </c>
      <c r="F11" s="7">
        <v>4173672.0</v>
      </c>
      <c r="G11" s="7">
        <v>5557400.0</v>
      </c>
      <c r="K11" s="7">
        <v>2.0929433E7</v>
      </c>
      <c r="L11" s="7">
        <v>337408.0</v>
      </c>
      <c r="M11" s="7">
        <v>9945079.0</v>
      </c>
      <c r="O11" s="10">
        <f t="shared" si="1"/>
        <v>53398961</v>
      </c>
      <c r="P11" s="12">
        <f t="shared" si="2"/>
        <v>1</v>
      </c>
    </row>
    <row r="12">
      <c r="A12" s="5" t="s">
        <v>27</v>
      </c>
      <c r="B12" s="7">
        <v>924914.0</v>
      </c>
      <c r="C12" s="7">
        <v>772916.0</v>
      </c>
      <c r="D12" s="7">
        <v>1.035926E7</v>
      </c>
      <c r="E12" s="7">
        <v>398879.0</v>
      </c>
      <c r="F12" s="7">
        <v>4173672.0</v>
      </c>
      <c r="G12" s="7">
        <v>5557400.0</v>
      </c>
      <c r="K12" s="7">
        <v>2.0929433E7</v>
      </c>
      <c r="L12" s="7">
        <v>337408.0</v>
      </c>
      <c r="M12" s="7">
        <v>9945079.0</v>
      </c>
      <c r="O12" s="10">
        <f t="shared" si="1"/>
        <v>53398961</v>
      </c>
      <c r="P12" s="12">
        <f t="shared" si="2"/>
        <v>1</v>
      </c>
    </row>
    <row r="13">
      <c r="A13" s="5" t="s">
        <v>28</v>
      </c>
      <c r="B13" s="7">
        <v>832423.0</v>
      </c>
      <c r="C13" s="7">
        <v>695624.0</v>
      </c>
      <c r="D13" s="7">
        <v>9327007.0</v>
      </c>
      <c r="E13" s="7">
        <v>358991.0</v>
      </c>
      <c r="F13" s="7">
        <v>3756305.0</v>
      </c>
      <c r="G13" s="7">
        <v>5001660.0</v>
      </c>
      <c r="K13" s="7">
        <v>1.8836489E7</v>
      </c>
      <c r="L13" s="7">
        <v>303667.0</v>
      </c>
      <c r="M13" s="7">
        <v>8953645.0</v>
      </c>
      <c r="O13" s="10">
        <f t="shared" si="1"/>
        <v>48065811</v>
      </c>
      <c r="P13" s="12">
        <f t="shared" si="2"/>
        <v>0.9001263339</v>
      </c>
    </row>
    <row r="14">
      <c r="A14" s="5" t="s">
        <v>29</v>
      </c>
      <c r="B14" s="7">
        <v>924914.0</v>
      </c>
      <c r="C14" s="7">
        <v>772916.0</v>
      </c>
      <c r="D14" s="7">
        <v>1.035926E7</v>
      </c>
      <c r="E14" s="7">
        <v>398879.0</v>
      </c>
      <c r="F14" s="7">
        <v>4173672.0</v>
      </c>
      <c r="G14" s="7">
        <v>5557400.0</v>
      </c>
      <c r="K14" s="7">
        <v>2.0929433E7</v>
      </c>
      <c r="L14" s="7">
        <v>337408.0</v>
      </c>
      <c r="M14" s="7">
        <v>9945079.0</v>
      </c>
      <c r="O14" s="10">
        <f t="shared" si="1"/>
        <v>53398961</v>
      </c>
      <c r="P14" s="12">
        <f t="shared" si="2"/>
        <v>1</v>
      </c>
    </row>
    <row r="15">
      <c r="A15" s="5" t="s">
        <v>30</v>
      </c>
      <c r="B15" s="7">
        <v>924914.0</v>
      </c>
      <c r="C15" s="7">
        <v>772916.0</v>
      </c>
      <c r="D15" s="7">
        <v>1.035926E7</v>
      </c>
      <c r="E15" s="7">
        <v>398879.0</v>
      </c>
      <c r="F15" s="7">
        <v>4173672.0</v>
      </c>
      <c r="G15" s="7">
        <v>5557400.0</v>
      </c>
      <c r="K15" s="7">
        <v>2.0929433E7</v>
      </c>
      <c r="L15" s="7">
        <v>337408.0</v>
      </c>
      <c r="M15" s="7">
        <v>9945079.0</v>
      </c>
      <c r="O15" s="10">
        <f t="shared" si="1"/>
        <v>53398961</v>
      </c>
      <c r="P15" s="12">
        <f t="shared" si="2"/>
        <v>1</v>
      </c>
    </row>
    <row r="16">
      <c r="A16" s="5" t="s">
        <v>31</v>
      </c>
      <c r="B16" s="7">
        <v>832423.0</v>
      </c>
      <c r="C16" s="7">
        <v>695624.0</v>
      </c>
      <c r="D16" s="7">
        <v>9327007.0</v>
      </c>
      <c r="E16" s="7">
        <v>358991.0</v>
      </c>
      <c r="F16" s="7">
        <v>3756305.0</v>
      </c>
      <c r="G16" s="7">
        <v>5001660.0</v>
      </c>
      <c r="K16" s="7">
        <v>1.8836489E7</v>
      </c>
      <c r="L16" s="7">
        <v>303667.0</v>
      </c>
      <c r="M16" s="7">
        <v>8953645.0</v>
      </c>
      <c r="O16" s="10">
        <f t="shared" si="1"/>
        <v>48065811</v>
      </c>
      <c r="P16" s="12">
        <f t="shared" si="2"/>
        <v>0.9001263339</v>
      </c>
    </row>
    <row r="17">
      <c r="A17" s="5" t="s">
        <v>32</v>
      </c>
      <c r="B17" s="7">
        <v>924914.0</v>
      </c>
      <c r="C17" s="7">
        <v>772916.0</v>
      </c>
      <c r="D17" s="7">
        <v>1.035926E7</v>
      </c>
      <c r="E17" s="7">
        <v>398879.0</v>
      </c>
      <c r="F17" s="7">
        <v>4173672.0</v>
      </c>
      <c r="G17" s="7">
        <v>5557400.0</v>
      </c>
      <c r="K17" s="7">
        <v>2.0929433E7</v>
      </c>
      <c r="L17" s="7">
        <v>337408.0</v>
      </c>
      <c r="M17" s="7">
        <v>9945079.0</v>
      </c>
      <c r="O17" s="10">
        <f t="shared" si="1"/>
        <v>53398961</v>
      </c>
      <c r="P17" s="12">
        <f t="shared" si="2"/>
        <v>1</v>
      </c>
    </row>
    <row r="18">
      <c r="A18" s="4" t="s">
        <v>33</v>
      </c>
      <c r="B18" s="7">
        <v>792784.0</v>
      </c>
      <c r="C18" s="7">
        <v>520920.0</v>
      </c>
      <c r="D18" s="7">
        <v>7149348.0</v>
      </c>
      <c r="E18" s="7">
        <v>238479.0</v>
      </c>
      <c r="F18" s="7">
        <v>1431056.0</v>
      </c>
      <c r="G18" s="7">
        <v>1115778.0</v>
      </c>
      <c r="K18" s="7">
        <v>1.3054538E7</v>
      </c>
      <c r="L18" s="7">
        <v>289207.0</v>
      </c>
      <c r="M18" s="7">
        <v>8380730.0</v>
      </c>
      <c r="O18" s="10">
        <f t="shared" si="1"/>
        <v>32972840</v>
      </c>
      <c r="P18" s="12">
        <f t="shared" si="2"/>
        <v>0.6174809281</v>
      </c>
    </row>
    <row r="19">
      <c r="A19" s="5" t="s">
        <v>34</v>
      </c>
      <c r="B19" s="7">
        <v>924914.0</v>
      </c>
      <c r="C19" s="7">
        <v>772916.0</v>
      </c>
      <c r="D19" s="7">
        <v>1.035926E7</v>
      </c>
      <c r="E19" s="7">
        <v>398879.0</v>
      </c>
      <c r="F19" s="7">
        <v>4173672.0</v>
      </c>
      <c r="G19" s="7">
        <v>5557400.0</v>
      </c>
      <c r="K19" s="7">
        <v>2.0929433E7</v>
      </c>
      <c r="L19" s="7">
        <v>337408.0</v>
      </c>
      <c r="M19" s="7">
        <v>9945079.0</v>
      </c>
      <c r="O19" s="10">
        <f t="shared" si="1"/>
        <v>53398961</v>
      </c>
      <c r="P19" s="12">
        <f t="shared" si="2"/>
        <v>1</v>
      </c>
    </row>
    <row r="20">
      <c r="A20" s="5" t="s">
        <v>35</v>
      </c>
      <c r="B20" s="7">
        <v>924914.0</v>
      </c>
      <c r="C20" s="7">
        <v>772916.0</v>
      </c>
      <c r="D20" s="7">
        <v>1.0015133E7</v>
      </c>
      <c r="E20" s="7">
        <v>374748.0</v>
      </c>
      <c r="F20" s="7">
        <v>4166974.0</v>
      </c>
      <c r="G20" s="7">
        <v>5329759.0</v>
      </c>
      <c r="K20" s="7">
        <v>2.0894069E7</v>
      </c>
      <c r="L20" s="7">
        <v>337408.0</v>
      </c>
      <c r="M20" s="7">
        <v>9930716.0</v>
      </c>
      <c r="O20" s="10">
        <f t="shared" si="1"/>
        <v>52746637</v>
      </c>
      <c r="P20" s="12">
        <f t="shared" si="2"/>
        <v>0.9877839571</v>
      </c>
    </row>
    <row r="21">
      <c r="A21" s="5" t="s">
        <v>36</v>
      </c>
      <c r="B21" s="7">
        <v>924914.0</v>
      </c>
      <c r="C21" s="7">
        <v>772916.0</v>
      </c>
      <c r="D21" s="7">
        <v>1.035926E7</v>
      </c>
      <c r="E21" s="7">
        <v>398879.0</v>
      </c>
      <c r="F21" s="7">
        <v>4173672.0</v>
      </c>
      <c r="G21" s="7">
        <v>5557400.0</v>
      </c>
      <c r="K21" s="7">
        <v>2.0929433E7</v>
      </c>
      <c r="L21" s="7">
        <v>337408.0</v>
      </c>
      <c r="M21" s="7">
        <v>9945079.0</v>
      </c>
      <c r="O21" s="10">
        <f t="shared" si="1"/>
        <v>53398961</v>
      </c>
      <c r="P21" s="12">
        <f t="shared" si="2"/>
        <v>1</v>
      </c>
    </row>
    <row r="22">
      <c r="A22" s="4" t="s">
        <v>37</v>
      </c>
      <c r="B22" s="7">
        <v>660653.0</v>
      </c>
      <c r="C22" s="7">
        <v>493355.0</v>
      </c>
      <c r="D22" s="7">
        <v>6008896.0</v>
      </c>
      <c r="E22" s="7">
        <v>238479.0</v>
      </c>
      <c r="F22" s="7">
        <v>2115302.0</v>
      </c>
      <c r="G22" s="7">
        <v>2032738.0</v>
      </c>
      <c r="K22" s="7">
        <v>1.2798959E7</v>
      </c>
      <c r="L22" s="7">
        <v>241006.0</v>
      </c>
      <c r="M22" s="7">
        <v>7000039.0</v>
      </c>
      <c r="O22" s="10">
        <f t="shared" si="1"/>
        <v>31589427</v>
      </c>
      <c r="P22" s="12">
        <f t="shared" si="2"/>
        <v>0.5915738136</v>
      </c>
    </row>
    <row r="25">
      <c r="B25" s="1">
        <v>45694.0</v>
      </c>
      <c r="C25" s="1">
        <v>45701.0</v>
      </c>
      <c r="D25" s="1">
        <v>45702.0</v>
      </c>
      <c r="E25" s="1">
        <v>45709.0</v>
      </c>
      <c r="F25" s="1">
        <v>45716.0</v>
      </c>
      <c r="G25" s="1"/>
      <c r="H25" s="1"/>
      <c r="I25" s="1"/>
      <c r="J25" s="1">
        <v>45693.0</v>
      </c>
      <c r="K25" s="1">
        <v>45702.0</v>
      </c>
      <c r="L25" s="1">
        <v>45714.0</v>
      </c>
      <c r="M25" s="1">
        <v>45716.0</v>
      </c>
      <c r="O25" s="4" t="s">
        <v>4</v>
      </c>
    </row>
    <row r="26">
      <c r="A26" s="5" t="s">
        <v>5</v>
      </c>
      <c r="B26" s="7">
        <v>761142.0</v>
      </c>
      <c r="C26" s="7">
        <v>6758529.07</v>
      </c>
      <c r="D26" s="7">
        <v>362017.0</v>
      </c>
      <c r="E26" s="7">
        <v>8927555.43</v>
      </c>
      <c r="F26" s="7">
        <v>3778811.48</v>
      </c>
      <c r="G26" s="7"/>
      <c r="H26" s="7"/>
      <c r="I26" s="7"/>
      <c r="J26" s="7">
        <v>59184.47</v>
      </c>
      <c r="K26" s="7">
        <v>3222290.43</v>
      </c>
      <c r="L26" s="7">
        <v>297005.06</v>
      </c>
      <c r="M26" s="7">
        <v>9311433.23</v>
      </c>
      <c r="O26" s="10">
        <f t="shared" ref="O26:O46" si="3">SUM(B26:N26)</f>
        <v>33477968.17</v>
      </c>
      <c r="P26" s="12">
        <f t="shared" ref="P26:P46" si="4">O26/$O$26</f>
        <v>1</v>
      </c>
    </row>
    <row r="27">
      <c r="A27" s="5" t="s">
        <v>18</v>
      </c>
      <c r="B27" s="7">
        <v>761142.0</v>
      </c>
      <c r="C27" s="7">
        <v>6758529.07</v>
      </c>
      <c r="D27" s="7">
        <v>362017.0</v>
      </c>
      <c r="E27" s="7">
        <v>8927555.43</v>
      </c>
      <c r="F27" s="7">
        <v>3778811.48</v>
      </c>
      <c r="G27" s="7"/>
      <c r="H27" s="7"/>
      <c r="I27" s="7"/>
      <c r="J27" s="7">
        <v>59184.47</v>
      </c>
      <c r="K27" s="7">
        <v>3222290.43</v>
      </c>
      <c r="L27" s="7">
        <v>297005.06</v>
      </c>
      <c r="M27" s="7">
        <v>9311433.23</v>
      </c>
      <c r="O27" s="10">
        <f t="shared" si="3"/>
        <v>33477968.17</v>
      </c>
      <c r="P27" s="12">
        <f t="shared" si="4"/>
        <v>1</v>
      </c>
    </row>
    <row r="28">
      <c r="A28" s="4" t="s">
        <v>19</v>
      </c>
      <c r="B28" s="7">
        <v>726195.0</v>
      </c>
      <c r="C28" s="7">
        <v>6758529.07</v>
      </c>
      <c r="D28" s="7">
        <v>362017.0</v>
      </c>
      <c r="E28" s="7">
        <v>8927555.43</v>
      </c>
      <c r="F28" s="7">
        <v>3778811.48</v>
      </c>
      <c r="G28" s="7"/>
      <c r="H28" s="7"/>
      <c r="I28" s="7"/>
      <c r="J28" s="7">
        <v>59184.47</v>
      </c>
      <c r="K28" s="7">
        <v>3212040.71</v>
      </c>
      <c r="L28" s="7">
        <v>297005.06</v>
      </c>
      <c r="M28" s="7">
        <v>9311433.23</v>
      </c>
      <c r="O28" s="10">
        <f t="shared" si="3"/>
        <v>33432771.45</v>
      </c>
      <c r="P28" s="12">
        <f t="shared" si="4"/>
        <v>0.9986499563</v>
      </c>
    </row>
    <row r="29">
      <c r="A29" s="5" t="s">
        <v>20</v>
      </c>
      <c r="B29" s="7">
        <v>761142.0</v>
      </c>
      <c r="C29" s="7">
        <v>6758529.07</v>
      </c>
      <c r="D29" s="7">
        <v>362017.0</v>
      </c>
      <c r="E29" s="7">
        <v>8927555.43</v>
      </c>
      <c r="F29" s="7">
        <v>3778811.48</v>
      </c>
      <c r="G29" s="7"/>
      <c r="H29" s="7"/>
      <c r="I29" s="7"/>
      <c r="J29" s="7">
        <v>59184.47</v>
      </c>
      <c r="K29" s="7">
        <v>3222290.43</v>
      </c>
      <c r="L29" s="7">
        <v>297005.06</v>
      </c>
      <c r="M29" s="7">
        <v>9311433.23</v>
      </c>
      <c r="O29" s="10">
        <f t="shared" si="3"/>
        <v>33477968.17</v>
      </c>
      <c r="P29" s="12">
        <f t="shared" si="4"/>
        <v>1</v>
      </c>
    </row>
    <row r="30">
      <c r="A30" s="5" t="s">
        <v>21</v>
      </c>
      <c r="B30" s="7">
        <v>761142.0</v>
      </c>
      <c r="C30" s="7">
        <v>6758529.07</v>
      </c>
      <c r="D30" s="7">
        <v>362017.0</v>
      </c>
      <c r="E30" s="7">
        <v>8927555.43</v>
      </c>
      <c r="F30" s="7">
        <v>3778811.48</v>
      </c>
      <c r="G30" s="7"/>
      <c r="H30" s="7"/>
      <c r="I30" s="7"/>
      <c r="J30" s="7">
        <v>59184.47</v>
      </c>
      <c r="K30" s="7">
        <v>3222290.43</v>
      </c>
      <c r="L30" s="7">
        <v>297005.06</v>
      </c>
      <c r="M30" s="7">
        <v>9311433.23</v>
      </c>
      <c r="O30" s="10">
        <f t="shared" si="3"/>
        <v>33477968.17</v>
      </c>
      <c r="P30" s="12">
        <f t="shared" si="4"/>
        <v>1</v>
      </c>
    </row>
    <row r="31">
      <c r="A31" s="5" t="s">
        <v>22</v>
      </c>
      <c r="B31" s="7">
        <v>543672.0</v>
      </c>
      <c r="C31" s="7">
        <v>4827520.76</v>
      </c>
      <c r="D31" s="7">
        <v>258583.0</v>
      </c>
      <c r="E31" s="7">
        <v>6376825.31</v>
      </c>
      <c r="F31" s="7">
        <v>2699151.06</v>
      </c>
      <c r="G31" s="7"/>
      <c r="H31" s="7"/>
      <c r="I31" s="7"/>
      <c r="J31" s="7">
        <v>42274.62</v>
      </c>
      <c r="K31" s="7">
        <v>2301636.02</v>
      </c>
      <c r="L31" s="7">
        <v>212146.47</v>
      </c>
      <c r="M31" s="7">
        <v>6651023.74</v>
      </c>
      <c r="O31" s="10">
        <f t="shared" si="3"/>
        <v>23912832.98</v>
      </c>
      <c r="P31" s="12">
        <f t="shared" si="4"/>
        <v>0.7142856717</v>
      </c>
    </row>
    <row r="32">
      <c r="A32" s="5" t="s">
        <v>23</v>
      </c>
      <c r="B32" s="7">
        <v>761142.0</v>
      </c>
      <c r="C32" s="7">
        <v>6758529.07</v>
      </c>
      <c r="D32" s="7">
        <v>362017.0</v>
      </c>
      <c r="E32" s="7">
        <v>8927555.43</v>
      </c>
      <c r="F32" s="7">
        <v>3778811.48</v>
      </c>
      <c r="G32" s="7"/>
      <c r="H32" s="7"/>
      <c r="I32" s="7"/>
      <c r="J32" s="7">
        <v>59184.47</v>
      </c>
      <c r="K32" s="7">
        <v>3222290.43</v>
      </c>
      <c r="L32" s="7">
        <v>297005.06</v>
      </c>
      <c r="M32" s="7">
        <v>9311433.23</v>
      </c>
      <c r="O32" s="10">
        <f t="shared" si="3"/>
        <v>33477968.17</v>
      </c>
      <c r="P32" s="12">
        <f t="shared" si="4"/>
        <v>1</v>
      </c>
    </row>
    <row r="33">
      <c r="A33" s="5" t="s">
        <v>24</v>
      </c>
      <c r="B33" s="7">
        <v>543672.0</v>
      </c>
      <c r="C33" s="7">
        <v>4827520.76</v>
      </c>
      <c r="D33" s="7">
        <v>258583.0</v>
      </c>
      <c r="E33" s="7">
        <v>6376825.31</v>
      </c>
      <c r="F33" s="7">
        <v>2699151.06</v>
      </c>
      <c r="G33" s="7"/>
      <c r="H33" s="7"/>
      <c r="I33" s="7"/>
      <c r="J33" s="7">
        <v>42274.62</v>
      </c>
      <c r="K33" s="7">
        <v>2301636.02</v>
      </c>
      <c r="L33" s="7">
        <v>212146.47</v>
      </c>
      <c r="M33" s="7">
        <v>6651023.74</v>
      </c>
      <c r="O33" s="10">
        <f t="shared" si="3"/>
        <v>23912832.98</v>
      </c>
      <c r="P33" s="12">
        <f t="shared" si="4"/>
        <v>0.7142856717</v>
      </c>
    </row>
    <row r="34">
      <c r="A34" s="5" t="s">
        <v>25</v>
      </c>
      <c r="B34" s="7">
        <v>761142.0</v>
      </c>
      <c r="C34" s="7">
        <v>6758529.07</v>
      </c>
      <c r="D34" s="7">
        <v>362017.0</v>
      </c>
      <c r="E34" s="7">
        <v>8927555.43</v>
      </c>
      <c r="F34" s="7">
        <v>3778811.48</v>
      </c>
      <c r="G34" s="7"/>
      <c r="H34" s="7"/>
      <c r="I34" s="7"/>
      <c r="J34" s="7">
        <v>59184.47</v>
      </c>
      <c r="K34" s="7">
        <v>3222290.43</v>
      </c>
      <c r="L34" s="7">
        <v>297005.06</v>
      </c>
      <c r="M34" s="7">
        <v>9311433.23</v>
      </c>
      <c r="O34" s="10">
        <f t="shared" si="3"/>
        <v>33477968.17</v>
      </c>
      <c r="P34" s="12">
        <f t="shared" si="4"/>
        <v>1</v>
      </c>
    </row>
    <row r="35">
      <c r="A35" s="5" t="s">
        <v>26</v>
      </c>
      <c r="B35" s="7">
        <v>761142.0</v>
      </c>
      <c r="C35" s="7">
        <v>6758529.07</v>
      </c>
      <c r="D35" s="7">
        <v>362017.0</v>
      </c>
      <c r="E35" s="7">
        <v>8927555.43</v>
      </c>
      <c r="F35" s="7">
        <v>3778811.48</v>
      </c>
      <c r="G35" s="7"/>
      <c r="H35" s="7"/>
      <c r="I35" s="7"/>
      <c r="J35" s="7">
        <v>59184.47</v>
      </c>
      <c r="K35" s="7">
        <v>3222290.43</v>
      </c>
      <c r="L35" s="7">
        <v>297005.06</v>
      </c>
      <c r="M35" s="7">
        <v>9311433.23</v>
      </c>
      <c r="O35" s="10">
        <f t="shared" si="3"/>
        <v>33477968.17</v>
      </c>
      <c r="P35" s="12">
        <f t="shared" si="4"/>
        <v>1</v>
      </c>
    </row>
    <row r="36">
      <c r="A36" s="5" t="s">
        <v>27</v>
      </c>
      <c r="B36" s="7">
        <v>761142.0</v>
      </c>
      <c r="C36" s="7">
        <v>6758529.07</v>
      </c>
      <c r="D36" s="7">
        <v>362017.0</v>
      </c>
      <c r="E36" s="7">
        <v>8927555.43</v>
      </c>
      <c r="F36" s="7">
        <v>3778811.48</v>
      </c>
      <c r="G36" s="7"/>
      <c r="H36" s="7"/>
      <c r="I36" s="7"/>
      <c r="J36" s="7">
        <v>59184.47</v>
      </c>
      <c r="K36" s="7">
        <v>3222290.43</v>
      </c>
      <c r="L36" s="7">
        <v>297005.06</v>
      </c>
      <c r="M36" s="7">
        <v>9311433.23</v>
      </c>
      <c r="O36" s="10">
        <f t="shared" si="3"/>
        <v>33477968.17</v>
      </c>
      <c r="P36" s="12">
        <f t="shared" si="4"/>
        <v>1</v>
      </c>
    </row>
    <row r="37">
      <c r="A37" s="5" t="s">
        <v>28</v>
      </c>
      <c r="B37" s="7">
        <v>685027.0</v>
      </c>
      <c r="C37" s="7">
        <v>6082676.16</v>
      </c>
      <c r="D37" s="7">
        <v>325815.0</v>
      </c>
      <c r="E37" s="7">
        <v>8034799.89</v>
      </c>
      <c r="F37" s="7">
        <v>3400930.33</v>
      </c>
      <c r="G37" s="7"/>
      <c r="H37" s="7"/>
      <c r="I37" s="7"/>
      <c r="J37" s="7">
        <v>53266.02</v>
      </c>
      <c r="K37" s="7">
        <v>2901086.36</v>
      </c>
      <c r="L37" s="7">
        <v>267304.56</v>
      </c>
      <c r="M37" s="7">
        <v>8380289.91</v>
      </c>
      <c r="O37" s="10">
        <f t="shared" si="3"/>
        <v>30131195.23</v>
      </c>
      <c r="P37" s="12">
        <f t="shared" si="4"/>
        <v>0.9000305836</v>
      </c>
    </row>
    <row r="38">
      <c r="A38" s="5" t="s">
        <v>29</v>
      </c>
      <c r="B38" s="7">
        <v>761142.0</v>
      </c>
      <c r="C38" s="7">
        <v>6758529.07</v>
      </c>
      <c r="D38" s="7">
        <v>362017.0</v>
      </c>
      <c r="E38" s="7">
        <v>8927555.43</v>
      </c>
      <c r="F38" s="7">
        <v>3778811.48</v>
      </c>
      <c r="G38" s="7"/>
      <c r="H38" s="7"/>
      <c r="I38" s="7"/>
      <c r="J38" s="7">
        <v>59184.47</v>
      </c>
      <c r="K38" s="7">
        <v>3222290.43</v>
      </c>
      <c r="L38" s="7">
        <v>297005.06</v>
      </c>
      <c r="M38" s="7">
        <v>9311433.23</v>
      </c>
      <c r="O38" s="10">
        <f t="shared" si="3"/>
        <v>33477968.17</v>
      </c>
      <c r="P38" s="12">
        <f t="shared" si="4"/>
        <v>1</v>
      </c>
    </row>
    <row r="39">
      <c r="A39" s="5" t="s">
        <v>30</v>
      </c>
      <c r="B39" s="7">
        <v>761142.0</v>
      </c>
      <c r="C39" s="7">
        <v>6758529.07</v>
      </c>
      <c r="D39" s="7">
        <v>362017.0</v>
      </c>
      <c r="E39" s="7">
        <v>8927555.43</v>
      </c>
      <c r="F39" s="7">
        <v>3778811.48</v>
      </c>
      <c r="G39" s="7"/>
      <c r="H39" s="7"/>
      <c r="I39" s="7"/>
      <c r="J39" s="7">
        <v>59184.47</v>
      </c>
      <c r="K39" s="7">
        <v>3222290.43</v>
      </c>
      <c r="L39" s="7">
        <v>297005.06</v>
      </c>
      <c r="M39" s="7">
        <v>9311433.23</v>
      </c>
      <c r="O39" s="10">
        <f t="shared" si="3"/>
        <v>33477968.17</v>
      </c>
      <c r="P39" s="12">
        <f t="shared" si="4"/>
        <v>1</v>
      </c>
    </row>
    <row r="40">
      <c r="A40" s="5" t="s">
        <v>31</v>
      </c>
      <c r="B40" s="7">
        <v>685027.0</v>
      </c>
      <c r="C40" s="7">
        <v>6082676.16</v>
      </c>
      <c r="D40" s="7">
        <v>325815.0</v>
      </c>
      <c r="E40" s="7">
        <v>8034799.89</v>
      </c>
      <c r="F40" s="7">
        <v>3400930.33</v>
      </c>
      <c r="G40" s="7"/>
      <c r="H40" s="7"/>
      <c r="I40" s="7"/>
      <c r="J40" s="7">
        <v>53266.02</v>
      </c>
      <c r="K40" s="7">
        <v>2901086.36</v>
      </c>
      <c r="L40" s="7">
        <v>267304.56</v>
      </c>
      <c r="M40" s="7">
        <v>8380289.91</v>
      </c>
      <c r="O40" s="10">
        <f t="shared" si="3"/>
        <v>30131195.23</v>
      </c>
      <c r="P40" s="12">
        <f t="shared" si="4"/>
        <v>0.9000305836</v>
      </c>
    </row>
    <row r="41">
      <c r="A41" s="5" t="s">
        <v>32</v>
      </c>
      <c r="B41" s="7">
        <v>761142.0</v>
      </c>
      <c r="C41" s="7">
        <v>6758529.07</v>
      </c>
      <c r="D41" s="7">
        <v>362017.0</v>
      </c>
      <c r="E41" s="7">
        <v>8927555.43</v>
      </c>
      <c r="F41" s="7">
        <v>3778811.48</v>
      </c>
      <c r="G41" s="7"/>
      <c r="H41" s="7"/>
      <c r="I41" s="7"/>
      <c r="J41" s="7">
        <v>59184.47</v>
      </c>
      <c r="K41" s="7">
        <v>3222290.43</v>
      </c>
      <c r="L41" s="7">
        <v>297005.06</v>
      </c>
      <c r="M41" s="7">
        <v>9311433.23</v>
      </c>
      <c r="O41" s="10">
        <f t="shared" si="3"/>
        <v>33477968.17</v>
      </c>
      <c r="P41" s="12">
        <f t="shared" si="4"/>
        <v>1</v>
      </c>
    </row>
    <row r="42">
      <c r="A42" s="4" t="s">
        <v>33</v>
      </c>
      <c r="B42" s="7">
        <v>308012.0</v>
      </c>
      <c r="C42" s="7">
        <v>5713446.73</v>
      </c>
      <c r="D42" s="7" t="s">
        <v>49</v>
      </c>
      <c r="E42" s="7">
        <v>7131435.08</v>
      </c>
      <c r="F42" s="7">
        <v>2664559.59</v>
      </c>
      <c r="G42" s="7"/>
      <c r="H42" s="7"/>
      <c r="I42" s="7"/>
      <c r="J42" s="7">
        <v>50729.54</v>
      </c>
      <c r="K42" s="7">
        <v>2699841.54</v>
      </c>
      <c r="L42" s="7">
        <v>254575.77</v>
      </c>
      <c r="M42" s="7">
        <v>7913335.09</v>
      </c>
      <c r="O42" s="10">
        <f t="shared" si="3"/>
        <v>26735935.34</v>
      </c>
      <c r="P42" s="12">
        <f t="shared" si="4"/>
        <v>0.7986128431</v>
      </c>
    </row>
    <row r="43">
      <c r="A43" s="5" t="s">
        <v>34</v>
      </c>
      <c r="B43" s="7">
        <v>761142.0</v>
      </c>
      <c r="C43" s="7">
        <v>6758529.07</v>
      </c>
      <c r="D43" s="7">
        <v>362017.0</v>
      </c>
      <c r="E43" s="7">
        <v>8927555.43</v>
      </c>
      <c r="F43" s="7">
        <v>3778811.48</v>
      </c>
      <c r="G43" s="7"/>
      <c r="H43" s="7"/>
      <c r="I43" s="7"/>
      <c r="J43" s="7">
        <v>59184.47</v>
      </c>
      <c r="K43" s="7">
        <v>3222290.43</v>
      </c>
      <c r="L43" s="7">
        <v>297005.06</v>
      </c>
      <c r="M43" s="7">
        <v>9311433.23</v>
      </c>
      <c r="O43" s="10">
        <f t="shared" si="3"/>
        <v>33477968.17</v>
      </c>
      <c r="P43" s="12">
        <f t="shared" si="4"/>
        <v>1</v>
      </c>
    </row>
    <row r="44">
      <c r="A44" s="5" t="s">
        <v>35</v>
      </c>
      <c r="B44" s="7">
        <v>691680.0</v>
      </c>
      <c r="C44" s="7">
        <v>6758529.07</v>
      </c>
      <c r="D44" s="7">
        <v>362017.0</v>
      </c>
      <c r="E44" s="7">
        <v>8907986.04</v>
      </c>
      <c r="F44" s="7">
        <v>3739306.61</v>
      </c>
      <c r="G44" s="7"/>
      <c r="H44" s="7"/>
      <c r="I44" s="7"/>
      <c r="J44" s="7">
        <v>59184.47</v>
      </c>
      <c r="K44" s="7">
        <v>3207795.37</v>
      </c>
      <c r="L44" s="7">
        <v>297005.06</v>
      </c>
      <c r="M44" s="7">
        <v>9296475.17</v>
      </c>
      <c r="O44" s="10">
        <f t="shared" si="3"/>
        <v>33319978.79</v>
      </c>
      <c r="P44" s="12">
        <f t="shared" si="4"/>
        <v>0.9952807954</v>
      </c>
    </row>
    <row r="45">
      <c r="A45" s="5" t="s">
        <v>36</v>
      </c>
      <c r="B45" s="7">
        <v>761142.0</v>
      </c>
      <c r="C45" s="7">
        <v>6758529.07</v>
      </c>
      <c r="D45" s="7">
        <v>362017.0</v>
      </c>
      <c r="E45" s="7">
        <v>8927555.43</v>
      </c>
      <c r="F45" s="7">
        <v>3778811.48</v>
      </c>
      <c r="G45" s="7"/>
      <c r="H45" s="7"/>
      <c r="I45" s="7"/>
      <c r="J45" s="7">
        <v>59184.47</v>
      </c>
      <c r="K45" s="7">
        <v>3222290.43</v>
      </c>
      <c r="L45" s="7">
        <v>297005.06</v>
      </c>
      <c r="M45" s="7">
        <v>9311433.23</v>
      </c>
      <c r="O45" s="10">
        <f t="shared" si="3"/>
        <v>33477968.17</v>
      </c>
      <c r="P45" s="12">
        <f t="shared" si="4"/>
        <v>1</v>
      </c>
    </row>
    <row r="46">
      <c r="A46" s="4" t="s">
        <v>37</v>
      </c>
      <c r="B46" s="7">
        <v>273466.0</v>
      </c>
      <c r="C46" s="7">
        <v>4823948.06</v>
      </c>
      <c r="D46" s="7" t="s">
        <v>49</v>
      </c>
      <c r="E46" s="7">
        <v>6100344.14</v>
      </c>
      <c r="F46" s="7">
        <v>2455708.43</v>
      </c>
      <c r="G46" s="7"/>
      <c r="H46" s="7"/>
      <c r="I46" s="7"/>
      <c r="J46" s="7">
        <v>50729.54</v>
      </c>
      <c r="K46" s="7">
        <v>2249867.95</v>
      </c>
      <c r="L46" s="7">
        <v>254575.77</v>
      </c>
      <c r="M46" s="7">
        <v>7606227.07</v>
      </c>
      <c r="O46" s="10">
        <f t="shared" si="3"/>
        <v>23814866.96</v>
      </c>
      <c r="P46" s="12">
        <f t="shared" si="4"/>
        <v>0.7113593883</v>
      </c>
    </row>
    <row r="49">
      <c r="B49" s="1">
        <v>45722.0</v>
      </c>
      <c r="C49" s="1">
        <v>45730.0</v>
      </c>
      <c r="D49" s="1">
        <v>45736.0</v>
      </c>
      <c r="E49" s="24">
        <v>45737.0</v>
      </c>
      <c r="F49" s="1">
        <v>45743.0</v>
      </c>
      <c r="G49" s="1">
        <v>45744.0</v>
      </c>
      <c r="H49" s="1"/>
      <c r="I49" s="1"/>
      <c r="J49" s="1">
        <v>45721.0</v>
      </c>
      <c r="K49" s="1">
        <v>45730.0</v>
      </c>
      <c r="L49" s="1">
        <v>45743.0</v>
      </c>
      <c r="M49" s="1">
        <v>45747.0</v>
      </c>
      <c r="O49" s="4" t="s">
        <v>4</v>
      </c>
    </row>
    <row r="50">
      <c r="A50" s="5" t="s">
        <v>5</v>
      </c>
      <c r="B50" s="7">
        <v>664347.31</v>
      </c>
      <c r="C50" s="7">
        <v>1606627.26</v>
      </c>
      <c r="D50" s="7">
        <v>9287868.48</v>
      </c>
      <c r="E50" s="7">
        <v>78118.88</v>
      </c>
      <c r="F50" s="7">
        <v>43598.13</v>
      </c>
      <c r="G50" s="7">
        <v>4262242.91</v>
      </c>
      <c r="H50" s="7"/>
      <c r="I50" s="7"/>
      <c r="J50" s="7">
        <v>59784.02</v>
      </c>
      <c r="K50" s="7">
        <v>1606627.26</v>
      </c>
      <c r="L50" s="7">
        <v>124039.0</v>
      </c>
      <c r="M50" s="7">
        <v>1.2818004E7</v>
      </c>
      <c r="O50" s="10">
        <f t="shared" ref="O50:O70" si="5">SUM(B50:N50)</f>
        <v>30551257.25</v>
      </c>
      <c r="P50" s="12">
        <f t="shared" ref="P50:P70" si="6">O50/$O$50</f>
        <v>1</v>
      </c>
    </row>
    <row r="51">
      <c r="A51" s="5" t="s">
        <v>18</v>
      </c>
      <c r="B51" s="7">
        <v>664347.31</v>
      </c>
      <c r="C51" s="7">
        <v>1606627.26</v>
      </c>
      <c r="D51" s="7">
        <v>9287868.48</v>
      </c>
      <c r="E51" s="7">
        <v>78118.88</v>
      </c>
      <c r="F51" s="7">
        <v>43598.13</v>
      </c>
      <c r="G51" s="7">
        <v>4262242.91</v>
      </c>
      <c r="H51" s="7"/>
      <c r="I51" s="7"/>
      <c r="J51" s="7">
        <v>59784.02</v>
      </c>
      <c r="K51" s="7">
        <v>1606627.26</v>
      </c>
      <c r="L51" s="7">
        <v>124039.0</v>
      </c>
      <c r="M51" s="7">
        <v>1.2818004E7</v>
      </c>
      <c r="O51" s="10">
        <f t="shared" si="5"/>
        <v>30551257.25</v>
      </c>
      <c r="P51" s="12">
        <f t="shared" si="6"/>
        <v>1</v>
      </c>
    </row>
    <row r="52">
      <c r="A52" s="4" t="s">
        <v>19</v>
      </c>
      <c r="B52" s="7">
        <v>664347.31</v>
      </c>
      <c r="C52" s="7">
        <v>1606627.26</v>
      </c>
      <c r="D52" s="7">
        <v>9287868.48</v>
      </c>
      <c r="E52" s="7">
        <v>78118.88</v>
      </c>
      <c r="F52" s="7">
        <v>43598.13</v>
      </c>
      <c r="G52" s="7">
        <v>4262242.91</v>
      </c>
      <c r="H52" s="7"/>
      <c r="I52" s="7"/>
      <c r="J52" s="7">
        <v>59784.02</v>
      </c>
      <c r="K52" s="7">
        <v>1606627.26</v>
      </c>
      <c r="L52" s="7">
        <v>124039.0</v>
      </c>
      <c r="M52" s="7">
        <v>1.2818004E7</v>
      </c>
      <c r="O52" s="10">
        <f t="shared" si="5"/>
        <v>30551257.25</v>
      </c>
      <c r="P52" s="12">
        <f t="shared" si="6"/>
        <v>1</v>
      </c>
    </row>
    <row r="53">
      <c r="A53" s="5" t="s">
        <v>20</v>
      </c>
      <c r="B53" s="7">
        <v>664347.31</v>
      </c>
      <c r="C53" s="7">
        <v>1606627.26</v>
      </c>
      <c r="D53" s="7">
        <v>9287868.48</v>
      </c>
      <c r="E53" s="7">
        <v>78118.88</v>
      </c>
      <c r="F53" s="7">
        <v>43598.13</v>
      </c>
      <c r="G53" s="7">
        <v>4262242.91</v>
      </c>
      <c r="H53" s="7"/>
      <c r="I53" s="7"/>
      <c r="J53" s="7">
        <v>59784.02</v>
      </c>
      <c r="K53" s="7">
        <v>1606627.26</v>
      </c>
      <c r="L53" s="7">
        <v>124039.0</v>
      </c>
      <c r="M53" s="7">
        <v>1.2818004E7</v>
      </c>
      <c r="O53" s="10">
        <f t="shared" si="5"/>
        <v>30551257.25</v>
      </c>
      <c r="P53" s="12">
        <f t="shared" si="6"/>
        <v>1</v>
      </c>
    </row>
    <row r="54">
      <c r="A54" s="5" t="s">
        <v>21</v>
      </c>
      <c r="B54" s="7">
        <v>664347.31</v>
      </c>
      <c r="C54" s="7">
        <v>1606627.26</v>
      </c>
      <c r="D54" s="7">
        <v>9287868.48</v>
      </c>
      <c r="E54" s="7">
        <v>78118.88</v>
      </c>
      <c r="F54" s="7">
        <v>43598.13</v>
      </c>
      <c r="G54" s="7">
        <v>4262242.91</v>
      </c>
      <c r="H54" s="7"/>
      <c r="I54" s="7"/>
      <c r="J54" s="7">
        <v>59784.02</v>
      </c>
      <c r="K54" s="7">
        <v>1606627.26</v>
      </c>
      <c r="L54" s="7">
        <v>124039.0</v>
      </c>
      <c r="M54" s="7">
        <v>1.2818004E7</v>
      </c>
      <c r="O54" s="10">
        <f t="shared" si="5"/>
        <v>30551257.25</v>
      </c>
      <c r="P54" s="12">
        <f t="shared" si="6"/>
        <v>1</v>
      </c>
    </row>
    <row r="55">
      <c r="A55" s="5" t="s">
        <v>22</v>
      </c>
      <c r="B55" s="7">
        <v>474533.8</v>
      </c>
      <c r="C55" s="7">
        <v>1147590.9</v>
      </c>
      <c r="D55" s="7">
        <v>6634191.77</v>
      </c>
      <c r="E55" s="7">
        <v>55799.2</v>
      </c>
      <c r="F55" s="7">
        <v>31141.52</v>
      </c>
      <c r="G55" s="7">
        <v>3044459.22</v>
      </c>
      <c r="H55" s="7"/>
      <c r="I55" s="7"/>
      <c r="J55" s="7">
        <v>42702.87</v>
      </c>
      <c r="K55" s="7">
        <v>1147590.9</v>
      </c>
      <c r="L55" s="7">
        <v>88599.0</v>
      </c>
      <c r="M55" s="7">
        <v>9155717.0</v>
      </c>
      <c r="O55" s="10">
        <f t="shared" si="5"/>
        <v>21822326.18</v>
      </c>
      <c r="P55" s="12">
        <f t="shared" si="6"/>
        <v>0.7142857003</v>
      </c>
    </row>
    <row r="56">
      <c r="A56" s="5" t="s">
        <v>23</v>
      </c>
      <c r="B56" s="7">
        <v>664347.31</v>
      </c>
      <c r="C56" s="7">
        <v>1606627.26</v>
      </c>
      <c r="D56" s="7">
        <v>9287868.48</v>
      </c>
      <c r="E56" s="7">
        <v>78118.88</v>
      </c>
      <c r="F56" s="7">
        <v>43598.13</v>
      </c>
      <c r="G56" s="7">
        <v>4262242.91</v>
      </c>
      <c r="H56" s="7"/>
      <c r="I56" s="7"/>
      <c r="J56" s="7">
        <v>59784.02</v>
      </c>
      <c r="K56" s="7">
        <v>1606627.26</v>
      </c>
      <c r="L56" s="7">
        <v>124039.0</v>
      </c>
      <c r="M56" s="7">
        <v>1.2818004E7</v>
      </c>
      <c r="O56" s="10">
        <f t="shared" si="5"/>
        <v>30551257.25</v>
      </c>
      <c r="P56" s="12">
        <f t="shared" si="6"/>
        <v>1</v>
      </c>
    </row>
    <row r="57">
      <c r="A57" s="5" t="s">
        <v>24</v>
      </c>
      <c r="B57" s="7">
        <v>474533.8</v>
      </c>
      <c r="C57" s="7">
        <v>1147590.9</v>
      </c>
      <c r="D57" s="7">
        <v>6634191.77</v>
      </c>
      <c r="E57" s="7">
        <v>55799.2</v>
      </c>
      <c r="F57" s="7">
        <v>31141.52</v>
      </c>
      <c r="G57" s="7">
        <v>3044459.22</v>
      </c>
      <c r="H57" s="7"/>
      <c r="I57" s="7"/>
      <c r="J57" s="7">
        <v>42702.87</v>
      </c>
      <c r="K57" s="7">
        <v>1147590.9</v>
      </c>
      <c r="L57" s="7">
        <v>88599.0</v>
      </c>
      <c r="M57" s="7">
        <v>9155717.0</v>
      </c>
      <c r="O57" s="10">
        <f t="shared" si="5"/>
        <v>21822326.18</v>
      </c>
      <c r="P57" s="12">
        <f t="shared" si="6"/>
        <v>0.7142857003</v>
      </c>
    </row>
    <row r="58">
      <c r="A58" s="5" t="s">
        <v>25</v>
      </c>
      <c r="B58" s="7">
        <v>664347.31</v>
      </c>
      <c r="C58" s="7">
        <v>1606627.26</v>
      </c>
      <c r="D58" s="7">
        <v>9287868.48</v>
      </c>
      <c r="E58" s="7">
        <v>78118.88</v>
      </c>
      <c r="F58" s="7">
        <v>43598.13</v>
      </c>
      <c r="G58" s="7">
        <v>4262242.91</v>
      </c>
      <c r="H58" s="7"/>
      <c r="I58" s="7"/>
      <c r="J58" s="7">
        <v>59784.02</v>
      </c>
      <c r="K58" s="7">
        <v>1606627.26</v>
      </c>
      <c r="L58" s="7">
        <v>124039.0</v>
      </c>
      <c r="M58" s="7">
        <v>1.2818004E7</v>
      </c>
      <c r="O58" s="10">
        <f t="shared" si="5"/>
        <v>30551257.25</v>
      </c>
      <c r="P58" s="12">
        <f t="shared" si="6"/>
        <v>1</v>
      </c>
    </row>
    <row r="59">
      <c r="A59" s="5" t="s">
        <v>26</v>
      </c>
      <c r="B59" s="7">
        <v>664347.31</v>
      </c>
      <c r="C59" s="7">
        <v>1606627.26</v>
      </c>
      <c r="D59" s="7">
        <v>9287868.48</v>
      </c>
      <c r="E59" s="7">
        <v>78118.88</v>
      </c>
      <c r="F59" s="7">
        <v>43598.13</v>
      </c>
      <c r="G59" s="7">
        <v>4262242.91</v>
      </c>
      <c r="H59" s="7"/>
      <c r="I59" s="7"/>
      <c r="J59" s="7">
        <v>59784.02</v>
      </c>
      <c r="K59" s="7">
        <v>1606627.26</v>
      </c>
      <c r="L59" s="7">
        <v>124039.0</v>
      </c>
      <c r="M59" s="7">
        <v>1.2818004E7</v>
      </c>
      <c r="O59" s="10">
        <f t="shared" si="5"/>
        <v>30551257.25</v>
      </c>
      <c r="P59" s="12">
        <f t="shared" si="6"/>
        <v>1</v>
      </c>
    </row>
    <row r="60">
      <c r="A60" s="5" t="s">
        <v>27</v>
      </c>
      <c r="B60" s="7">
        <v>664347.31</v>
      </c>
      <c r="C60" s="7">
        <v>1606627.26</v>
      </c>
      <c r="D60" s="7">
        <v>9287868.48</v>
      </c>
      <c r="E60" s="7">
        <v>78118.88</v>
      </c>
      <c r="F60" s="7">
        <v>43598.13</v>
      </c>
      <c r="G60" s="7">
        <v>4262242.91</v>
      </c>
      <c r="H60" s="7"/>
      <c r="I60" s="7"/>
      <c r="J60" s="7">
        <v>59784.02</v>
      </c>
      <c r="K60" s="7">
        <v>1606627.26</v>
      </c>
      <c r="L60" s="7">
        <v>124039.0</v>
      </c>
      <c r="M60" s="7">
        <v>1.2818004E7</v>
      </c>
      <c r="O60" s="10">
        <f t="shared" si="5"/>
        <v>30551257.25</v>
      </c>
      <c r="P60" s="12">
        <f t="shared" si="6"/>
        <v>1</v>
      </c>
    </row>
    <row r="61">
      <c r="A61" s="5" t="s">
        <v>28</v>
      </c>
      <c r="B61" s="7">
        <v>597912.58</v>
      </c>
      <c r="C61" s="7">
        <v>1445964.53</v>
      </c>
      <c r="D61" s="7">
        <v>8359081.63</v>
      </c>
      <c r="E61" s="7">
        <v>70306.99</v>
      </c>
      <c r="F61" s="7">
        <v>39238.31</v>
      </c>
      <c r="G61" s="7">
        <v>3836018.62</v>
      </c>
      <c r="H61" s="7"/>
      <c r="I61" s="7"/>
      <c r="J61" s="7">
        <v>53805.62</v>
      </c>
      <c r="K61" s="7">
        <v>1445964.53</v>
      </c>
      <c r="L61" s="7">
        <v>111635.0</v>
      </c>
      <c r="M61" s="7">
        <v>1.1536204E7</v>
      </c>
      <c r="O61" s="10">
        <f t="shared" si="5"/>
        <v>27496131.81</v>
      </c>
      <c r="P61" s="12">
        <f t="shared" si="6"/>
        <v>0.9000000093</v>
      </c>
    </row>
    <row r="62">
      <c r="A62" s="5" t="s">
        <v>29</v>
      </c>
      <c r="B62" s="7">
        <v>664347.31</v>
      </c>
      <c r="C62" s="7">
        <v>1606627.26</v>
      </c>
      <c r="D62" s="7">
        <v>9287868.48</v>
      </c>
      <c r="E62" s="7">
        <v>78118.88</v>
      </c>
      <c r="F62" s="7">
        <v>43598.13</v>
      </c>
      <c r="G62" s="7">
        <v>4262242.91</v>
      </c>
      <c r="H62" s="7"/>
      <c r="I62" s="7"/>
      <c r="J62" s="7">
        <v>59784.02</v>
      </c>
      <c r="K62" s="7">
        <v>1606627.26</v>
      </c>
      <c r="L62" s="7">
        <v>124039.0</v>
      </c>
      <c r="M62" s="7">
        <v>1.2818004E7</v>
      </c>
      <c r="O62" s="10">
        <f t="shared" si="5"/>
        <v>30551257.25</v>
      </c>
      <c r="P62" s="12">
        <f t="shared" si="6"/>
        <v>1</v>
      </c>
    </row>
    <row r="63">
      <c r="A63" s="5" t="s">
        <v>30</v>
      </c>
      <c r="B63" s="7">
        <v>664347.31</v>
      </c>
      <c r="C63" s="7">
        <v>1606627.26</v>
      </c>
      <c r="D63" s="7">
        <v>9287868.48</v>
      </c>
      <c r="E63" s="7">
        <v>78118.88</v>
      </c>
      <c r="F63" s="7">
        <v>43598.13</v>
      </c>
      <c r="G63" s="7">
        <v>4262242.91</v>
      </c>
      <c r="H63" s="7"/>
      <c r="I63" s="7"/>
      <c r="J63" s="7">
        <v>59784.02</v>
      </c>
      <c r="K63" s="7">
        <v>1606627.26</v>
      </c>
      <c r="L63" s="7">
        <v>124039.0</v>
      </c>
      <c r="M63" s="7">
        <v>1.2818004E7</v>
      </c>
      <c r="O63" s="10">
        <f t="shared" si="5"/>
        <v>30551257.25</v>
      </c>
      <c r="P63" s="12">
        <f t="shared" si="6"/>
        <v>1</v>
      </c>
    </row>
    <row r="64">
      <c r="A64" s="5" t="s">
        <v>31</v>
      </c>
      <c r="B64" s="7">
        <v>597912.58</v>
      </c>
      <c r="C64" s="7">
        <v>1445964.53</v>
      </c>
      <c r="D64" s="7">
        <v>8359081.63</v>
      </c>
      <c r="E64" s="7">
        <v>70306.99</v>
      </c>
      <c r="F64" s="7">
        <v>39238.31</v>
      </c>
      <c r="G64" s="7">
        <v>3836018.62</v>
      </c>
      <c r="H64" s="7"/>
      <c r="I64" s="7"/>
      <c r="J64" s="7">
        <v>53805.62</v>
      </c>
      <c r="K64" s="7">
        <v>1445964.53</v>
      </c>
      <c r="L64" s="7">
        <v>111635.0</v>
      </c>
      <c r="M64" s="7">
        <v>1.1536204E7</v>
      </c>
      <c r="O64" s="10">
        <f t="shared" si="5"/>
        <v>27496131.81</v>
      </c>
      <c r="P64" s="12">
        <f t="shared" si="6"/>
        <v>0.9000000093</v>
      </c>
    </row>
    <row r="65">
      <c r="A65" s="5" t="s">
        <v>32</v>
      </c>
      <c r="B65" s="7">
        <v>664347.31</v>
      </c>
      <c r="C65" s="7">
        <v>1606627.26</v>
      </c>
      <c r="D65" s="7">
        <v>9287868.48</v>
      </c>
      <c r="E65" s="7">
        <v>78118.88</v>
      </c>
      <c r="F65" s="7">
        <v>43598.13</v>
      </c>
      <c r="G65" s="7">
        <v>4262242.91</v>
      </c>
      <c r="H65" s="7"/>
      <c r="I65" s="7"/>
      <c r="J65" s="7">
        <v>59784.02</v>
      </c>
      <c r="K65" s="7">
        <v>1606627.26</v>
      </c>
      <c r="L65" s="7">
        <v>124039.0</v>
      </c>
      <c r="M65" s="7">
        <v>1.2818004E7</v>
      </c>
      <c r="O65" s="10">
        <f t="shared" si="5"/>
        <v>30551257.25</v>
      </c>
      <c r="P65" s="12">
        <f t="shared" si="6"/>
        <v>1</v>
      </c>
    </row>
    <row r="66">
      <c r="A66" s="4" t="s">
        <v>33</v>
      </c>
      <c r="B66" s="7">
        <v>569440.55</v>
      </c>
      <c r="C66" s="7">
        <v>1377109.08</v>
      </c>
      <c r="D66" s="7">
        <v>7480812.25</v>
      </c>
      <c r="E66" s="4">
        <v>0.0</v>
      </c>
      <c r="F66" s="7">
        <v>37369.82</v>
      </c>
      <c r="G66" s="7">
        <v>3653351.07</v>
      </c>
      <c r="H66" s="7"/>
      <c r="I66" s="7"/>
      <c r="J66" s="7">
        <v>51243.45</v>
      </c>
      <c r="K66" s="7">
        <v>1377109.08</v>
      </c>
      <c r="L66" s="7">
        <v>106319.0</v>
      </c>
      <c r="M66" s="7">
        <v>1.0847438E7</v>
      </c>
      <c r="O66" s="10">
        <f t="shared" si="5"/>
        <v>25500192.3</v>
      </c>
      <c r="P66" s="12">
        <f t="shared" si="6"/>
        <v>0.8346691624</v>
      </c>
    </row>
    <row r="67">
      <c r="A67" s="5" t="s">
        <v>34</v>
      </c>
      <c r="B67" s="7">
        <v>664347.31</v>
      </c>
      <c r="C67" s="7">
        <v>1606627.26</v>
      </c>
      <c r="D67" s="7">
        <v>9287868.48</v>
      </c>
      <c r="E67" s="7">
        <v>78118.88</v>
      </c>
      <c r="F67" s="7">
        <v>43598.13</v>
      </c>
      <c r="G67" s="7">
        <v>4262242.91</v>
      </c>
      <c r="H67" s="7"/>
      <c r="I67" s="7"/>
      <c r="J67" s="7">
        <v>59784.02</v>
      </c>
      <c r="K67" s="7">
        <v>1606627.26</v>
      </c>
      <c r="L67" s="7">
        <v>124039.0</v>
      </c>
      <c r="M67" s="7">
        <v>1.2818004E7</v>
      </c>
      <c r="O67" s="10">
        <f t="shared" si="5"/>
        <v>30551257.25</v>
      </c>
      <c r="P67" s="12">
        <f t="shared" si="6"/>
        <v>1</v>
      </c>
    </row>
    <row r="68">
      <c r="A68" s="5" t="s">
        <v>35</v>
      </c>
      <c r="B68" s="7">
        <v>664347.31</v>
      </c>
      <c r="C68" s="7">
        <v>1606627.26</v>
      </c>
      <c r="D68" s="7">
        <v>9287868.48</v>
      </c>
      <c r="E68" s="7">
        <v>78118.88</v>
      </c>
      <c r="F68" s="7">
        <v>38012.94</v>
      </c>
      <c r="G68" s="7">
        <v>4262242.91</v>
      </c>
      <c r="H68" s="7"/>
      <c r="I68" s="7"/>
      <c r="J68" s="7">
        <v>47827.22</v>
      </c>
      <c r="K68" s="7">
        <v>1606627.26</v>
      </c>
      <c r="L68" s="7">
        <v>99231.0</v>
      </c>
      <c r="M68" s="7">
        <v>1.1530759E7</v>
      </c>
      <c r="O68" s="10">
        <f t="shared" si="5"/>
        <v>29221662.26</v>
      </c>
      <c r="P68" s="12">
        <f t="shared" si="6"/>
        <v>0.9564798601</v>
      </c>
    </row>
    <row r="69">
      <c r="A69" s="5" t="s">
        <v>36</v>
      </c>
      <c r="B69" s="7">
        <v>664347.31</v>
      </c>
      <c r="C69" s="7">
        <v>1606627.26</v>
      </c>
      <c r="D69" s="7">
        <v>9287868.48</v>
      </c>
      <c r="E69" s="7">
        <v>78118.88</v>
      </c>
      <c r="F69" s="7">
        <v>43598.13</v>
      </c>
      <c r="G69" s="7">
        <v>4262242.91</v>
      </c>
      <c r="H69" s="7"/>
      <c r="I69" s="7"/>
      <c r="J69" s="7">
        <v>59784.02</v>
      </c>
      <c r="K69" s="7">
        <v>1606627.26</v>
      </c>
      <c r="L69" s="7">
        <v>124039.0</v>
      </c>
      <c r="M69" s="7">
        <v>1.2818004E7</v>
      </c>
      <c r="O69" s="10">
        <f t="shared" si="5"/>
        <v>30551257.25</v>
      </c>
      <c r="P69" s="12">
        <f t="shared" si="6"/>
        <v>1</v>
      </c>
    </row>
    <row r="70">
      <c r="A70" s="4" t="s">
        <v>37</v>
      </c>
      <c r="B70" s="7">
        <v>552413.39</v>
      </c>
      <c r="C70" s="7">
        <v>1277400.38</v>
      </c>
      <c r="D70" s="7">
        <v>6432621.05</v>
      </c>
      <c r="E70" s="4">
        <v>0.0</v>
      </c>
      <c r="F70" s="7">
        <v>35130.94</v>
      </c>
      <c r="G70" s="7">
        <v>3117072.05</v>
      </c>
      <c r="H70" s="7"/>
      <c r="I70" s="7"/>
      <c r="J70" s="7">
        <v>51243.45</v>
      </c>
      <c r="K70" s="7">
        <v>1277400.38</v>
      </c>
      <c r="L70" s="7">
        <v>106319.0</v>
      </c>
      <c r="M70" s="7">
        <v>1.025728E7</v>
      </c>
      <c r="O70" s="10">
        <f t="shared" si="5"/>
        <v>23106880.64</v>
      </c>
      <c r="P70" s="12">
        <f t="shared" si="6"/>
        <v>0.7563315791</v>
      </c>
    </row>
    <row r="73">
      <c r="B73" s="1">
        <v>45751.0</v>
      </c>
      <c r="C73" s="1">
        <v>45755.0</v>
      </c>
      <c r="D73" s="1">
        <v>45757.0</v>
      </c>
      <c r="E73" s="1">
        <v>45763.0</v>
      </c>
      <c r="F73" s="1">
        <v>45772.0</v>
      </c>
      <c r="G73" s="1">
        <v>45776.0</v>
      </c>
      <c r="H73" s="1">
        <v>45777.0</v>
      </c>
      <c r="I73" s="1"/>
      <c r="J73" s="1">
        <v>45752.0</v>
      </c>
      <c r="K73" s="1">
        <v>45762.0</v>
      </c>
      <c r="L73" s="1">
        <v>45777.0</v>
      </c>
      <c r="O73" s="4" t="s">
        <v>4</v>
      </c>
    </row>
    <row r="74">
      <c r="A74" s="5" t="s">
        <v>5</v>
      </c>
      <c r="B74" s="7">
        <v>232112.0</v>
      </c>
      <c r="C74" s="7">
        <v>214410.0</v>
      </c>
      <c r="D74" s="7">
        <v>1593733.0</v>
      </c>
      <c r="E74" s="7">
        <v>1.2127715E7</v>
      </c>
      <c r="F74" s="7">
        <v>1810232.0</v>
      </c>
      <c r="G74" s="7">
        <v>242753.0</v>
      </c>
      <c r="H74" s="7">
        <v>1640180.0</v>
      </c>
      <c r="I74" s="7"/>
      <c r="J74" s="7">
        <v>59784.0</v>
      </c>
      <c r="K74" s="7">
        <v>5488906.0</v>
      </c>
      <c r="L74" s="7">
        <v>1.0189889E7</v>
      </c>
      <c r="O74" s="10">
        <f t="shared" ref="O74:O94" si="7">SUM(B74:N74)</f>
        <v>33599714</v>
      </c>
      <c r="P74" s="12">
        <f t="shared" ref="P74:P94" si="8">O74/$O$74</f>
        <v>1</v>
      </c>
    </row>
    <row r="75">
      <c r="A75" s="5" t="s">
        <v>18</v>
      </c>
      <c r="B75" s="7">
        <v>232112.0</v>
      </c>
      <c r="C75" s="7">
        <v>214410.0</v>
      </c>
      <c r="D75" s="7">
        <v>1593733.0</v>
      </c>
      <c r="E75" s="7">
        <v>1.2127715E7</v>
      </c>
      <c r="F75" s="7">
        <v>1810232.0</v>
      </c>
      <c r="G75" s="7">
        <v>242753.0</v>
      </c>
      <c r="H75" s="7">
        <v>1640180.0</v>
      </c>
      <c r="I75" s="7"/>
      <c r="J75" s="7">
        <v>59784.0</v>
      </c>
      <c r="K75" s="7">
        <v>5488906.0</v>
      </c>
      <c r="L75" s="7">
        <v>1.0189889E7</v>
      </c>
      <c r="O75" s="10">
        <f t="shared" si="7"/>
        <v>33599714</v>
      </c>
      <c r="P75" s="12">
        <f t="shared" si="8"/>
        <v>1</v>
      </c>
    </row>
    <row r="76">
      <c r="A76" s="4" t="s">
        <v>19</v>
      </c>
      <c r="B76" s="7">
        <v>232112.0</v>
      </c>
      <c r="C76" s="7">
        <v>214410.0</v>
      </c>
      <c r="D76" s="7">
        <v>1593733.0</v>
      </c>
      <c r="E76" s="7">
        <v>1.2121904E7</v>
      </c>
      <c r="F76" s="7">
        <v>1810232.0</v>
      </c>
      <c r="G76" s="7">
        <v>242753.0</v>
      </c>
      <c r="H76" s="7">
        <v>1640180.0</v>
      </c>
      <c r="I76" s="7"/>
      <c r="J76" s="7">
        <v>59784.0</v>
      </c>
      <c r="K76" s="7">
        <v>5488906.0</v>
      </c>
      <c r="L76" s="7">
        <v>1.0189889E7</v>
      </c>
      <c r="O76" s="10">
        <f t="shared" si="7"/>
        <v>33593903</v>
      </c>
      <c r="P76" s="12">
        <f t="shared" si="8"/>
        <v>0.9998270521</v>
      </c>
    </row>
    <row r="77">
      <c r="A77" s="5" t="s">
        <v>20</v>
      </c>
      <c r="B77" s="7">
        <v>232112.0</v>
      </c>
      <c r="C77" s="7">
        <v>214410.0</v>
      </c>
      <c r="D77" s="7">
        <v>1593733.0</v>
      </c>
      <c r="E77" s="7">
        <v>1.2127715E7</v>
      </c>
      <c r="F77" s="7">
        <v>1810232.0</v>
      </c>
      <c r="G77" s="7">
        <v>242753.0</v>
      </c>
      <c r="H77" s="7">
        <v>1640180.0</v>
      </c>
      <c r="I77" s="7"/>
      <c r="J77" s="7">
        <v>59784.0</v>
      </c>
      <c r="K77" s="7">
        <v>5488906.0</v>
      </c>
      <c r="L77" s="7">
        <v>1.0189889E7</v>
      </c>
      <c r="O77" s="10">
        <f t="shared" si="7"/>
        <v>33599714</v>
      </c>
      <c r="P77" s="12">
        <f t="shared" si="8"/>
        <v>1</v>
      </c>
    </row>
    <row r="78">
      <c r="A78" s="5" t="s">
        <v>21</v>
      </c>
      <c r="B78" s="7">
        <v>232112.0</v>
      </c>
      <c r="C78" s="7">
        <v>214410.0</v>
      </c>
      <c r="D78" s="7">
        <v>1593733.0</v>
      </c>
      <c r="E78" s="7">
        <v>1.2127715E7</v>
      </c>
      <c r="F78" s="7">
        <v>1810232.0</v>
      </c>
      <c r="G78" s="7">
        <v>242753.0</v>
      </c>
      <c r="H78" s="7">
        <v>1640180.0</v>
      </c>
      <c r="I78" s="7"/>
      <c r="J78" s="7">
        <v>59784.0</v>
      </c>
      <c r="K78" s="7">
        <v>5488906.0</v>
      </c>
      <c r="L78" s="7">
        <v>1.0189889E7</v>
      </c>
      <c r="O78" s="10">
        <f t="shared" si="7"/>
        <v>33599714</v>
      </c>
      <c r="P78" s="12">
        <f t="shared" si="8"/>
        <v>1</v>
      </c>
    </row>
    <row r="79">
      <c r="A79" s="5" t="s">
        <v>22</v>
      </c>
      <c r="B79" s="7">
        <v>165794.0</v>
      </c>
      <c r="C79" s="7">
        <v>153150.0</v>
      </c>
      <c r="D79" s="7">
        <v>1138380.0</v>
      </c>
      <c r="E79" s="7">
        <v>8662654.0</v>
      </c>
      <c r="F79" s="7">
        <v>1293023.0</v>
      </c>
      <c r="G79" s="7">
        <v>173395.0</v>
      </c>
      <c r="H79" s="7">
        <v>1171557.0</v>
      </c>
      <c r="I79" s="7"/>
      <c r="J79" s="7">
        <v>42702.0</v>
      </c>
      <c r="K79" s="7">
        <v>3920647.0</v>
      </c>
      <c r="L79" s="7">
        <v>7278492.0</v>
      </c>
      <c r="O79" s="10">
        <f t="shared" si="7"/>
        <v>23999794</v>
      </c>
      <c r="P79" s="12">
        <f t="shared" si="8"/>
        <v>0.7142856633</v>
      </c>
    </row>
    <row r="80">
      <c r="A80" s="5" t="s">
        <v>23</v>
      </c>
      <c r="B80" s="7">
        <v>232112.0</v>
      </c>
      <c r="C80" s="7">
        <v>214410.0</v>
      </c>
      <c r="D80" s="7">
        <v>1593733.0</v>
      </c>
      <c r="E80" s="7">
        <v>1.2127715E7</v>
      </c>
      <c r="F80" s="7">
        <v>1810232.0</v>
      </c>
      <c r="G80" s="7">
        <v>242753.0</v>
      </c>
      <c r="H80" s="7">
        <v>1640180.0</v>
      </c>
      <c r="I80" s="7"/>
      <c r="J80" s="7">
        <v>59784.0</v>
      </c>
      <c r="K80" s="7">
        <v>5488906.0</v>
      </c>
      <c r="L80" s="7">
        <v>1.0189889E7</v>
      </c>
      <c r="O80" s="10">
        <f t="shared" si="7"/>
        <v>33599714</v>
      </c>
      <c r="P80" s="12">
        <f t="shared" si="8"/>
        <v>1</v>
      </c>
    </row>
    <row r="81">
      <c r="A81" s="5" t="s">
        <v>24</v>
      </c>
      <c r="B81" s="7">
        <v>165794.0</v>
      </c>
      <c r="C81" s="7">
        <v>153150.0</v>
      </c>
      <c r="D81" s="7">
        <v>1138380.0</v>
      </c>
      <c r="E81" s="7">
        <v>8662654.0</v>
      </c>
      <c r="F81" s="7">
        <v>1293023.0</v>
      </c>
      <c r="G81" s="7">
        <v>173395.0</v>
      </c>
      <c r="H81" s="7">
        <v>1171557.0</v>
      </c>
      <c r="I81" s="7"/>
      <c r="J81" s="7">
        <v>42702.0</v>
      </c>
      <c r="K81" s="7">
        <v>3920647.0</v>
      </c>
      <c r="L81" s="7">
        <v>7278492.0</v>
      </c>
      <c r="O81" s="10">
        <f t="shared" si="7"/>
        <v>23999794</v>
      </c>
      <c r="P81" s="12">
        <f t="shared" si="8"/>
        <v>0.7142856633</v>
      </c>
    </row>
    <row r="82">
      <c r="A82" s="5" t="s">
        <v>25</v>
      </c>
      <c r="B82" s="7">
        <v>232112.0</v>
      </c>
      <c r="C82" s="7">
        <v>214410.0</v>
      </c>
      <c r="D82" s="7">
        <v>1593733.0</v>
      </c>
      <c r="E82" s="7">
        <v>1.2127715E7</v>
      </c>
      <c r="F82" s="7">
        <v>1810232.0</v>
      </c>
      <c r="G82" s="7">
        <v>242753.0</v>
      </c>
      <c r="H82" s="7">
        <v>1640180.0</v>
      </c>
      <c r="I82" s="7"/>
      <c r="J82" s="7">
        <v>59784.0</v>
      </c>
      <c r="K82" s="7">
        <v>5488906.0</v>
      </c>
      <c r="L82" s="7">
        <v>1.0189889E7</v>
      </c>
      <c r="O82" s="10">
        <f t="shared" si="7"/>
        <v>33599714</v>
      </c>
      <c r="P82" s="12">
        <f t="shared" si="8"/>
        <v>1</v>
      </c>
    </row>
    <row r="83">
      <c r="A83" s="5" t="s">
        <v>26</v>
      </c>
      <c r="B83" s="7">
        <v>232112.0</v>
      </c>
      <c r="C83" s="7">
        <v>214410.0</v>
      </c>
      <c r="D83" s="7">
        <v>1593733.0</v>
      </c>
      <c r="E83" s="7">
        <v>1.2127715E7</v>
      </c>
      <c r="F83" s="7">
        <v>1810232.0</v>
      </c>
      <c r="G83" s="7">
        <v>242753.0</v>
      </c>
      <c r="H83" s="7">
        <v>1640180.0</v>
      </c>
      <c r="I83" s="7"/>
      <c r="J83" s="7">
        <v>59784.0</v>
      </c>
      <c r="K83" s="7">
        <v>5488906.0</v>
      </c>
      <c r="L83" s="7">
        <v>1.0189889E7</v>
      </c>
      <c r="O83" s="10">
        <f t="shared" si="7"/>
        <v>33599714</v>
      </c>
      <c r="P83" s="12">
        <f t="shared" si="8"/>
        <v>1</v>
      </c>
    </row>
    <row r="84">
      <c r="A84" s="5" t="s">
        <v>27</v>
      </c>
      <c r="B84" s="7">
        <v>232112.0</v>
      </c>
      <c r="C84" s="7">
        <v>214410.0</v>
      </c>
      <c r="D84" s="7">
        <v>1593733.0</v>
      </c>
      <c r="E84" s="7">
        <v>1.2127715E7</v>
      </c>
      <c r="F84" s="7">
        <v>1810232.0</v>
      </c>
      <c r="G84" s="7">
        <v>242753.0</v>
      </c>
      <c r="H84" s="7">
        <v>1640180.0</v>
      </c>
      <c r="I84" s="7"/>
      <c r="J84" s="7">
        <v>59784.0</v>
      </c>
      <c r="K84" s="7">
        <v>5488906.0</v>
      </c>
      <c r="L84" s="7">
        <v>1.0189889E7</v>
      </c>
      <c r="O84" s="10">
        <f t="shared" si="7"/>
        <v>33599714</v>
      </c>
      <c r="P84" s="12">
        <f t="shared" si="8"/>
        <v>1</v>
      </c>
    </row>
    <row r="85">
      <c r="A85" s="5" t="s">
        <v>28</v>
      </c>
      <c r="B85" s="7">
        <v>208901.0</v>
      </c>
      <c r="C85" s="7">
        <v>192969.0</v>
      </c>
      <c r="D85" s="7">
        <v>1434360.0</v>
      </c>
      <c r="E85" s="7">
        <v>1.0914944E7</v>
      </c>
      <c r="F85" s="7">
        <v>1629209.0</v>
      </c>
      <c r="G85" s="7">
        <v>218478.0</v>
      </c>
      <c r="H85" s="7">
        <v>1476162.0</v>
      </c>
      <c r="I85" s="7"/>
      <c r="J85" s="7">
        <v>53805.0</v>
      </c>
      <c r="K85" s="7">
        <v>4940015.0</v>
      </c>
      <c r="L85" s="7">
        <v>9170900.0</v>
      </c>
      <c r="O85" s="10">
        <f t="shared" si="7"/>
        <v>30239743</v>
      </c>
      <c r="P85" s="12">
        <f t="shared" si="8"/>
        <v>0.9000000119</v>
      </c>
    </row>
    <row r="86">
      <c r="A86" s="5" t="s">
        <v>29</v>
      </c>
      <c r="B86" s="7">
        <v>232112.0</v>
      </c>
      <c r="C86" s="7">
        <v>214410.0</v>
      </c>
      <c r="D86" s="7">
        <v>1593733.0</v>
      </c>
      <c r="E86" s="7">
        <v>1.2127715E7</v>
      </c>
      <c r="F86" s="7">
        <v>1810232.0</v>
      </c>
      <c r="G86" s="7">
        <v>242753.0</v>
      </c>
      <c r="H86" s="7">
        <v>1640180.0</v>
      </c>
      <c r="I86" s="7"/>
      <c r="J86" s="7">
        <v>59784.0</v>
      </c>
      <c r="K86" s="7">
        <v>5488906.0</v>
      </c>
      <c r="L86" s="7">
        <v>1.0189889E7</v>
      </c>
      <c r="O86" s="10">
        <f t="shared" si="7"/>
        <v>33599714</v>
      </c>
      <c r="P86" s="12">
        <f t="shared" si="8"/>
        <v>1</v>
      </c>
    </row>
    <row r="87">
      <c r="A87" s="5" t="s">
        <v>30</v>
      </c>
      <c r="B87" s="7">
        <v>232112.0</v>
      </c>
      <c r="C87" s="7">
        <v>214410.0</v>
      </c>
      <c r="D87" s="7">
        <v>1593733.0</v>
      </c>
      <c r="E87" s="7">
        <v>1.2127715E7</v>
      </c>
      <c r="F87" s="7">
        <v>1810232.0</v>
      </c>
      <c r="G87" s="7">
        <v>242753.0</v>
      </c>
      <c r="H87" s="7">
        <v>1640180.0</v>
      </c>
      <c r="I87" s="7"/>
      <c r="J87" s="7">
        <v>59784.0</v>
      </c>
      <c r="K87" s="7">
        <v>5488906.0</v>
      </c>
      <c r="L87" s="7">
        <v>1.0189889E7</v>
      </c>
      <c r="O87" s="10">
        <f t="shared" si="7"/>
        <v>33599714</v>
      </c>
      <c r="P87" s="12">
        <f t="shared" si="8"/>
        <v>1</v>
      </c>
    </row>
    <row r="88">
      <c r="A88" s="5" t="s">
        <v>31</v>
      </c>
      <c r="B88" s="7">
        <v>208901.0</v>
      </c>
      <c r="C88" s="7">
        <v>192969.0</v>
      </c>
      <c r="D88" s="7">
        <v>1434360.0</v>
      </c>
      <c r="E88" s="7">
        <v>1.0914944E7</v>
      </c>
      <c r="F88" s="7">
        <v>1629209.0</v>
      </c>
      <c r="G88" s="7">
        <v>218478.0</v>
      </c>
      <c r="H88" s="7">
        <v>1476162.0</v>
      </c>
      <c r="I88" s="7"/>
      <c r="J88" s="7">
        <v>53805.0</v>
      </c>
      <c r="K88" s="7">
        <v>4940015.0</v>
      </c>
      <c r="L88" s="7">
        <v>9170900.0</v>
      </c>
      <c r="O88" s="10">
        <f t="shared" si="7"/>
        <v>30239743</v>
      </c>
      <c r="P88" s="12">
        <f t="shared" si="8"/>
        <v>0.9000000119</v>
      </c>
    </row>
    <row r="89">
      <c r="A89" s="5" t="s">
        <v>32</v>
      </c>
      <c r="B89" s="7">
        <v>232112.0</v>
      </c>
      <c r="C89" s="7">
        <v>214410.0</v>
      </c>
      <c r="D89" s="7">
        <v>1593733.0</v>
      </c>
      <c r="E89" s="7">
        <v>1.2127715E7</v>
      </c>
      <c r="F89" s="7">
        <v>1810232.0</v>
      </c>
      <c r="G89" s="7">
        <v>242753.0</v>
      </c>
      <c r="H89" s="7">
        <v>1640180.0</v>
      </c>
      <c r="I89" s="7"/>
      <c r="J89" s="7">
        <v>59784.0</v>
      </c>
      <c r="K89" s="7">
        <v>5488906.0</v>
      </c>
      <c r="L89" s="7">
        <v>1.0189889E7</v>
      </c>
      <c r="O89" s="10">
        <f t="shared" si="7"/>
        <v>33599714</v>
      </c>
      <c r="P89" s="12">
        <f t="shared" si="8"/>
        <v>1</v>
      </c>
    </row>
    <row r="90">
      <c r="A90" s="4" t="s">
        <v>33</v>
      </c>
      <c r="B90" s="7">
        <v>198953.0</v>
      </c>
      <c r="C90" s="7">
        <v>183780.0</v>
      </c>
      <c r="D90" s="7">
        <v>1356378.0</v>
      </c>
      <c r="E90" s="7">
        <v>1.0407241E7</v>
      </c>
      <c r="F90" s="7">
        <v>1551627.0</v>
      </c>
      <c r="G90" s="7">
        <v>220004.0</v>
      </c>
      <c r="H90" s="7">
        <v>1405869.0</v>
      </c>
      <c r="I90" s="7"/>
      <c r="J90" s="7">
        <v>51243.0</v>
      </c>
      <c r="K90" s="7">
        <v>4685369.0</v>
      </c>
      <c r="L90" s="7">
        <v>8731157.0</v>
      </c>
      <c r="O90" s="10">
        <f t="shared" si="7"/>
        <v>28791621</v>
      </c>
      <c r="P90" s="12">
        <f t="shared" si="8"/>
        <v>0.856900776</v>
      </c>
    </row>
    <row r="91">
      <c r="A91" s="5" t="s">
        <v>34</v>
      </c>
      <c r="B91" s="7">
        <v>232112.0</v>
      </c>
      <c r="C91" s="7">
        <v>214410.0</v>
      </c>
      <c r="D91" s="7">
        <v>1593733.0</v>
      </c>
      <c r="E91" s="7">
        <v>1.2127715E7</v>
      </c>
      <c r="F91" s="7">
        <v>1810232.0</v>
      </c>
      <c r="G91" s="7">
        <v>242753.0</v>
      </c>
      <c r="H91" s="7">
        <v>1640180.0</v>
      </c>
      <c r="I91" s="7"/>
      <c r="J91" s="7">
        <v>59784.0</v>
      </c>
      <c r="K91" s="7">
        <v>5488906.0</v>
      </c>
      <c r="L91" s="7">
        <v>1.0189889E7</v>
      </c>
      <c r="O91" s="10">
        <f t="shared" si="7"/>
        <v>33599714</v>
      </c>
      <c r="P91" s="12">
        <f t="shared" si="8"/>
        <v>1</v>
      </c>
    </row>
    <row r="92">
      <c r="A92" s="5" t="s">
        <v>35</v>
      </c>
      <c r="B92" s="7">
        <v>223559.0</v>
      </c>
      <c r="C92" s="7">
        <v>186855.0</v>
      </c>
      <c r="D92" s="7">
        <v>1415436.0</v>
      </c>
      <c r="E92" s="7">
        <v>1.1745253E7</v>
      </c>
      <c r="F92" s="7">
        <v>1577023.0</v>
      </c>
      <c r="G92" s="7">
        <v>226051.0</v>
      </c>
      <c r="H92" s="7">
        <v>1640180.0</v>
      </c>
      <c r="I92" s="7"/>
      <c r="J92" s="7">
        <v>47827.0</v>
      </c>
      <c r="K92" s="7">
        <v>4731748.0</v>
      </c>
      <c r="L92" s="7">
        <v>8292285.0</v>
      </c>
      <c r="O92" s="10">
        <f t="shared" si="7"/>
        <v>30086217</v>
      </c>
      <c r="P92" s="12">
        <f t="shared" si="8"/>
        <v>0.8954307468</v>
      </c>
    </row>
    <row r="93">
      <c r="A93" s="5" t="s">
        <v>36</v>
      </c>
      <c r="B93" s="7">
        <v>232112.0</v>
      </c>
      <c r="C93" s="7">
        <v>214410.0</v>
      </c>
      <c r="D93" s="7">
        <v>1593733.0</v>
      </c>
      <c r="E93" s="7">
        <v>1.2127715E7</v>
      </c>
      <c r="F93" s="7">
        <v>1810232.0</v>
      </c>
      <c r="G93" s="7">
        <v>242753.0</v>
      </c>
      <c r="H93" s="7">
        <v>1640180.0</v>
      </c>
      <c r="I93" s="7"/>
      <c r="J93" s="7">
        <v>59784.0</v>
      </c>
      <c r="K93" s="7">
        <v>5488906.0</v>
      </c>
      <c r="L93" s="7">
        <v>1.0189889E7</v>
      </c>
      <c r="O93" s="10">
        <f t="shared" si="7"/>
        <v>33599714</v>
      </c>
      <c r="P93" s="12">
        <f t="shared" si="8"/>
        <v>1</v>
      </c>
    </row>
    <row r="94">
      <c r="A94" s="4" t="s">
        <v>37</v>
      </c>
      <c r="B94" s="7">
        <v>198578.0</v>
      </c>
      <c r="C94" s="7">
        <v>172832.0</v>
      </c>
      <c r="D94" s="7">
        <v>1353364.0</v>
      </c>
      <c r="E94" s="7">
        <v>9907836.0</v>
      </c>
      <c r="F94" s="7">
        <v>1551627.0</v>
      </c>
      <c r="G94" s="7">
        <v>197255.0</v>
      </c>
      <c r="H94" s="7">
        <v>1171557.0</v>
      </c>
      <c r="I94" s="7"/>
      <c r="J94" s="7">
        <v>51243.0</v>
      </c>
      <c r="K94" s="7">
        <v>4666857.0</v>
      </c>
      <c r="L94" s="7">
        <v>8680613.0</v>
      </c>
      <c r="O94" s="10">
        <f t="shared" si="7"/>
        <v>27951762</v>
      </c>
      <c r="P94" s="12">
        <f t="shared" si="8"/>
        <v>0.8319047597</v>
      </c>
    </row>
    <row r="97">
      <c r="B97" s="1">
        <v>45785.0</v>
      </c>
      <c r="C97" s="1">
        <v>45793.0</v>
      </c>
      <c r="D97" s="1">
        <v>45800.0</v>
      </c>
      <c r="E97" s="1">
        <v>45807.0</v>
      </c>
      <c r="I97" s="1"/>
      <c r="J97" s="1">
        <v>45782.0</v>
      </c>
      <c r="K97" s="1">
        <v>45792.0</v>
      </c>
      <c r="L97" s="1">
        <v>45807.0</v>
      </c>
      <c r="O97" s="4" t="s">
        <v>4</v>
      </c>
    </row>
    <row r="98">
      <c r="A98" s="5" t="s">
        <v>5</v>
      </c>
      <c r="B98" s="7">
        <v>276484.0</v>
      </c>
      <c r="C98" s="7">
        <v>4347553.0</v>
      </c>
      <c r="D98" s="7">
        <v>1.1712625E7</v>
      </c>
      <c r="E98" s="7">
        <v>3450355.0</v>
      </c>
      <c r="K98" s="7">
        <v>6505173.0</v>
      </c>
      <c r="L98" s="7">
        <v>1.4198638E7</v>
      </c>
      <c r="O98" s="10">
        <f t="shared" ref="O98:O118" si="9">SUM(B98:N98)</f>
        <v>40490828</v>
      </c>
      <c r="P98" s="12">
        <f t="shared" ref="P98:P118" si="10">O98/$O$98</f>
        <v>1</v>
      </c>
    </row>
    <row r="99">
      <c r="A99" s="5" t="s">
        <v>18</v>
      </c>
      <c r="B99" s="7">
        <v>276484.0</v>
      </c>
      <c r="C99" s="7">
        <v>4347553.0</v>
      </c>
      <c r="D99" s="7">
        <v>1.1712625E7</v>
      </c>
      <c r="E99" s="7">
        <v>3450355.0</v>
      </c>
      <c r="K99" s="7">
        <v>6505173.0</v>
      </c>
      <c r="L99" s="7">
        <v>1.4198638E7</v>
      </c>
      <c r="O99" s="10">
        <f t="shared" si="9"/>
        <v>40490828</v>
      </c>
      <c r="P99" s="12">
        <f t="shared" si="10"/>
        <v>1</v>
      </c>
    </row>
    <row r="100">
      <c r="A100" s="4" t="s">
        <v>19</v>
      </c>
      <c r="B100" s="7">
        <v>276484.0</v>
      </c>
      <c r="C100" s="7">
        <v>4347553.0</v>
      </c>
      <c r="D100" s="7">
        <v>1.1712625E7</v>
      </c>
      <c r="E100" s="7">
        <v>3450355.0</v>
      </c>
      <c r="K100" s="7">
        <v>6505173.0</v>
      </c>
      <c r="L100" s="7">
        <v>1.4198638E7</v>
      </c>
      <c r="O100" s="10">
        <f t="shared" si="9"/>
        <v>40490828</v>
      </c>
      <c r="P100" s="12">
        <f t="shared" si="10"/>
        <v>1</v>
      </c>
    </row>
    <row r="101">
      <c r="A101" s="5" t="s">
        <v>20</v>
      </c>
      <c r="B101" s="7">
        <v>276484.0</v>
      </c>
      <c r="C101" s="7">
        <v>4347553.0</v>
      </c>
      <c r="D101" s="7">
        <v>1.1712625E7</v>
      </c>
      <c r="E101" s="7">
        <v>3450355.0</v>
      </c>
      <c r="K101" s="7">
        <v>6505173.0</v>
      </c>
      <c r="L101" s="7">
        <v>1.4198638E7</v>
      </c>
      <c r="O101" s="10">
        <f t="shared" si="9"/>
        <v>40490828</v>
      </c>
      <c r="P101" s="12">
        <f t="shared" si="10"/>
        <v>1</v>
      </c>
    </row>
    <row r="102">
      <c r="A102" s="5" t="s">
        <v>21</v>
      </c>
      <c r="B102" s="7">
        <v>276484.0</v>
      </c>
      <c r="C102" s="7">
        <v>4347553.0</v>
      </c>
      <c r="D102" s="7">
        <v>1.1712625E7</v>
      </c>
      <c r="E102" s="7">
        <v>3450355.0</v>
      </c>
      <c r="K102" s="7">
        <v>6505173.0</v>
      </c>
      <c r="L102" s="7">
        <v>1.4198638E7</v>
      </c>
      <c r="O102" s="10">
        <f t="shared" si="9"/>
        <v>40490828</v>
      </c>
      <c r="P102" s="12">
        <f t="shared" si="10"/>
        <v>1</v>
      </c>
    </row>
    <row r="103">
      <c r="A103" s="5" t="s">
        <v>22</v>
      </c>
      <c r="B103" s="7">
        <v>197488.0</v>
      </c>
      <c r="C103" s="7">
        <v>3105395.0</v>
      </c>
      <c r="D103" s="7">
        <v>8366160.0</v>
      </c>
      <c r="E103" s="7">
        <v>2464539.0</v>
      </c>
      <c r="K103" s="7">
        <v>4646552.0</v>
      </c>
      <c r="L103" s="7">
        <v>1.0141884E7</v>
      </c>
      <c r="O103" s="10">
        <f t="shared" si="9"/>
        <v>28922018</v>
      </c>
      <c r="P103" s="12">
        <f t="shared" si="10"/>
        <v>0.7142856649</v>
      </c>
    </row>
    <row r="104">
      <c r="A104" s="5" t="s">
        <v>23</v>
      </c>
      <c r="B104" s="7">
        <v>276484.0</v>
      </c>
      <c r="C104" s="7">
        <v>4347553.0</v>
      </c>
      <c r="D104" s="7">
        <v>1.1712625E7</v>
      </c>
      <c r="E104" s="7">
        <v>3450355.0</v>
      </c>
      <c r="K104" s="7">
        <v>6505173.0</v>
      </c>
      <c r="L104" s="7">
        <v>1.4198638E7</v>
      </c>
      <c r="O104" s="10">
        <f t="shared" si="9"/>
        <v>40490828</v>
      </c>
      <c r="P104" s="12">
        <f t="shared" si="10"/>
        <v>1</v>
      </c>
    </row>
    <row r="105">
      <c r="A105" s="5" t="s">
        <v>24</v>
      </c>
      <c r="B105" s="7">
        <v>197488.0</v>
      </c>
      <c r="C105" s="7">
        <v>3105395.0</v>
      </c>
      <c r="D105" s="7">
        <v>8366160.0</v>
      </c>
      <c r="E105" s="7">
        <v>2464539.0</v>
      </c>
      <c r="K105" s="7">
        <v>4646552.0</v>
      </c>
      <c r="L105" s="7">
        <v>1.0141884E7</v>
      </c>
      <c r="O105" s="10">
        <f t="shared" si="9"/>
        <v>28922018</v>
      </c>
      <c r="P105" s="12">
        <f t="shared" si="10"/>
        <v>0.7142856649</v>
      </c>
    </row>
    <row r="106">
      <c r="A106" s="5" t="s">
        <v>25</v>
      </c>
      <c r="B106" s="7">
        <v>276484.0</v>
      </c>
      <c r="C106" s="7">
        <v>4347553.0</v>
      </c>
      <c r="D106" s="7">
        <v>1.1712625E7</v>
      </c>
      <c r="E106" s="7">
        <v>3450355.0</v>
      </c>
      <c r="K106" s="7">
        <v>6505173.0</v>
      </c>
      <c r="L106" s="7">
        <v>1.4198638E7</v>
      </c>
      <c r="O106" s="10">
        <f t="shared" si="9"/>
        <v>40490828</v>
      </c>
      <c r="P106" s="12">
        <f t="shared" si="10"/>
        <v>1</v>
      </c>
    </row>
    <row r="107">
      <c r="A107" s="5" t="s">
        <v>26</v>
      </c>
      <c r="B107" s="7">
        <v>276484.0</v>
      </c>
      <c r="C107" s="7">
        <v>4347553.0</v>
      </c>
      <c r="D107" s="7">
        <v>1.1712625E7</v>
      </c>
      <c r="E107" s="7">
        <v>3450355.0</v>
      </c>
      <c r="K107" s="7">
        <v>6505173.0</v>
      </c>
      <c r="L107" s="7">
        <v>1.4198638E7</v>
      </c>
      <c r="O107" s="10">
        <f t="shared" si="9"/>
        <v>40490828</v>
      </c>
      <c r="P107" s="12">
        <f t="shared" si="10"/>
        <v>1</v>
      </c>
    </row>
    <row r="108">
      <c r="A108" s="5" t="s">
        <v>27</v>
      </c>
      <c r="B108" s="7">
        <v>276484.0</v>
      </c>
      <c r="C108" s="7">
        <v>4347553.0</v>
      </c>
      <c r="D108" s="7">
        <v>1.1712625E7</v>
      </c>
      <c r="E108" s="7">
        <v>3450355.0</v>
      </c>
      <c r="K108" s="7">
        <v>6505173.0</v>
      </c>
      <c r="L108" s="7">
        <v>1.4198638E7</v>
      </c>
      <c r="O108" s="10">
        <f t="shared" si="9"/>
        <v>40490828</v>
      </c>
      <c r="P108" s="12">
        <f t="shared" si="10"/>
        <v>1</v>
      </c>
    </row>
    <row r="109">
      <c r="A109" s="5" t="s">
        <v>28</v>
      </c>
      <c r="B109" s="7">
        <v>248835.0</v>
      </c>
      <c r="C109" s="7">
        <v>3912798.0</v>
      </c>
      <c r="D109" s="7">
        <v>1.0541362E7</v>
      </c>
      <c r="E109" s="7">
        <v>3105320.0</v>
      </c>
      <c r="K109" s="7">
        <v>5854655.0</v>
      </c>
      <c r="L109" s="7">
        <v>1.2778774E7</v>
      </c>
      <c r="O109" s="10">
        <f t="shared" si="9"/>
        <v>36441744</v>
      </c>
      <c r="P109" s="12">
        <f t="shared" si="10"/>
        <v>0.8999999704</v>
      </c>
    </row>
    <row r="110">
      <c r="A110" s="5" t="s">
        <v>29</v>
      </c>
      <c r="B110" s="7">
        <v>276484.0</v>
      </c>
      <c r="C110" s="7">
        <v>4347553.0</v>
      </c>
      <c r="D110" s="7">
        <v>1.1712625E7</v>
      </c>
      <c r="E110" s="7">
        <v>3450355.0</v>
      </c>
      <c r="K110" s="7">
        <v>6505173.0</v>
      </c>
      <c r="L110" s="7">
        <v>1.4198638E7</v>
      </c>
      <c r="O110" s="10">
        <f t="shared" si="9"/>
        <v>40490828</v>
      </c>
      <c r="P110" s="12">
        <f t="shared" si="10"/>
        <v>1</v>
      </c>
    </row>
    <row r="111">
      <c r="A111" s="5" t="s">
        <v>30</v>
      </c>
      <c r="B111" s="7">
        <v>276484.0</v>
      </c>
      <c r="C111" s="7">
        <v>4347553.0</v>
      </c>
      <c r="D111" s="7">
        <v>1.1712625E7</v>
      </c>
      <c r="E111" s="7">
        <v>3450355.0</v>
      </c>
      <c r="K111" s="7">
        <v>6505173.0</v>
      </c>
      <c r="L111" s="7">
        <v>1.4198638E7</v>
      </c>
      <c r="O111" s="10">
        <f t="shared" si="9"/>
        <v>40490828</v>
      </c>
      <c r="P111" s="12">
        <f t="shared" si="10"/>
        <v>1</v>
      </c>
    </row>
    <row r="112">
      <c r="A112" s="5" t="s">
        <v>31</v>
      </c>
      <c r="B112" s="7">
        <v>248835.0</v>
      </c>
      <c r="C112" s="7">
        <v>3912798.0</v>
      </c>
      <c r="D112" s="7">
        <v>1.0541362E7</v>
      </c>
      <c r="E112" s="7">
        <v>3105320.0</v>
      </c>
      <c r="K112" s="7">
        <v>5854655.0</v>
      </c>
      <c r="L112" s="7">
        <v>1.2778774E7</v>
      </c>
      <c r="O112" s="10">
        <f t="shared" si="9"/>
        <v>36441744</v>
      </c>
      <c r="P112" s="12">
        <f t="shared" si="10"/>
        <v>0.8999999704</v>
      </c>
    </row>
    <row r="113">
      <c r="A113" s="5" t="s">
        <v>32</v>
      </c>
      <c r="B113" s="7">
        <v>276484.0</v>
      </c>
      <c r="C113" s="7">
        <v>4347553.0</v>
      </c>
      <c r="D113" s="7">
        <v>1.1712625E7</v>
      </c>
      <c r="E113" s="7">
        <v>3450355.0</v>
      </c>
      <c r="K113" s="7">
        <v>6505173.0</v>
      </c>
      <c r="L113" s="7">
        <v>1.4198638E7</v>
      </c>
      <c r="O113" s="10">
        <f t="shared" si="9"/>
        <v>40490828</v>
      </c>
      <c r="P113" s="12">
        <f t="shared" si="10"/>
        <v>1</v>
      </c>
    </row>
    <row r="114">
      <c r="A114" s="4" t="s">
        <v>33</v>
      </c>
      <c r="B114" s="7">
        <v>236986.0</v>
      </c>
      <c r="C114" s="7">
        <v>3701324.0</v>
      </c>
      <c r="D114" s="7">
        <v>1.0039392E7</v>
      </c>
      <c r="E114" s="7">
        <v>2957447.0</v>
      </c>
      <c r="K114" s="7">
        <v>5566791.0</v>
      </c>
      <c r="L114" s="7">
        <v>1.361887E7</v>
      </c>
      <c r="O114" s="10">
        <f t="shared" si="9"/>
        <v>36120810</v>
      </c>
      <c r="P114" s="12">
        <f t="shared" si="10"/>
        <v>0.8920738791</v>
      </c>
    </row>
    <row r="115">
      <c r="A115" s="5" t="s">
        <v>34</v>
      </c>
      <c r="B115" s="7">
        <v>276484.0</v>
      </c>
      <c r="C115" s="7">
        <v>4347553.0</v>
      </c>
      <c r="D115" s="7">
        <v>1.1712625E7</v>
      </c>
      <c r="E115" s="7">
        <v>3450355.0</v>
      </c>
      <c r="K115" s="7">
        <v>6505173.0</v>
      </c>
      <c r="L115" s="7">
        <v>1.4198638E7</v>
      </c>
      <c r="O115" s="10">
        <f t="shared" si="9"/>
        <v>40490828</v>
      </c>
      <c r="P115" s="12">
        <f t="shared" si="10"/>
        <v>1</v>
      </c>
    </row>
    <row r="116">
      <c r="A116" s="5" t="s">
        <v>35</v>
      </c>
      <c r="B116" s="7">
        <v>224279.0</v>
      </c>
      <c r="C116" s="7">
        <v>3799218.0</v>
      </c>
      <c r="D116" s="7">
        <v>1.0009395E7</v>
      </c>
      <c r="E116" s="7">
        <v>3035966.0</v>
      </c>
      <c r="K116" s="7">
        <v>6034915.0</v>
      </c>
      <c r="L116" s="7">
        <v>1.1435832E7</v>
      </c>
      <c r="O116" s="10">
        <f t="shared" si="9"/>
        <v>34539605</v>
      </c>
      <c r="P116" s="12">
        <f t="shared" si="10"/>
        <v>0.8530229365</v>
      </c>
    </row>
    <row r="117">
      <c r="A117" s="5" t="s">
        <v>36</v>
      </c>
      <c r="B117" s="7">
        <v>276484.0</v>
      </c>
      <c r="C117" s="7">
        <v>4347553.0</v>
      </c>
      <c r="D117" s="7">
        <v>1.1712625E7</v>
      </c>
      <c r="E117" s="7">
        <v>3450355.0</v>
      </c>
      <c r="K117" s="7">
        <v>6505173.0</v>
      </c>
      <c r="L117" s="7">
        <v>1.4198638E7</v>
      </c>
      <c r="O117" s="10">
        <f t="shared" si="9"/>
        <v>40490828</v>
      </c>
      <c r="P117" s="12">
        <f t="shared" si="10"/>
        <v>1</v>
      </c>
    </row>
    <row r="118">
      <c r="A118" s="4" t="s">
        <v>37</v>
      </c>
      <c r="B118" s="7">
        <v>236986.0</v>
      </c>
      <c r="C118" s="7">
        <v>3560779.0</v>
      </c>
      <c r="D118" s="7">
        <v>9750683.0</v>
      </c>
      <c r="E118" s="7">
        <v>2954817.0</v>
      </c>
      <c r="K118" s="7">
        <v>5444697.0</v>
      </c>
      <c r="L118" s="7">
        <v>1.3595564E7</v>
      </c>
      <c r="O118" s="10">
        <f t="shared" si="9"/>
        <v>35543526</v>
      </c>
      <c r="P118" s="12">
        <f t="shared" si="10"/>
        <v>0.8778167243</v>
      </c>
    </row>
    <row r="121">
      <c r="B121" s="1">
        <v>45813.0</v>
      </c>
      <c r="C121" s="1">
        <v>45821.0</v>
      </c>
      <c r="D121" s="1">
        <v>45826.0</v>
      </c>
      <c r="E121" s="1">
        <v>45834.0</v>
      </c>
      <c r="F121" s="1">
        <v>45835.0</v>
      </c>
      <c r="I121" s="1"/>
      <c r="J121" s="1">
        <v>45812.0</v>
      </c>
      <c r="K121" s="1">
        <v>45813.0</v>
      </c>
      <c r="L121" s="1">
        <v>45825.0</v>
      </c>
      <c r="M121" s="1">
        <v>45835.0</v>
      </c>
      <c r="N121" s="1">
        <v>45838.0</v>
      </c>
      <c r="O121" s="4" t="s">
        <v>4</v>
      </c>
    </row>
    <row r="122">
      <c r="A122" s="5" t="s">
        <v>5</v>
      </c>
      <c r="B122" s="23">
        <v>1797641.0</v>
      </c>
      <c r="C122" s="7">
        <v>1327433.0</v>
      </c>
      <c r="D122" s="7">
        <v>1.1130572E7</v>
      </c>
      <c r="E122" s="7">
        <v>183796.0</v>
      </c>
      <c r="F122" s="7">
        <v>2596803.0</v>
      </c>
      <c r="I122" s="23"/>
      <c r="J122" s="23">
        <v>986961.0</v>
      </c>
      <c r="K122" s="7">
        <v>169446.0</v>
      </c>
      <c r="L122" s="7">
        <v>9459055.0</v>
      </c>
      <c r="M122" s="7">
        <v>462168.0</v>
      </c>
      <c r="N122" s="7">
        <v>9643015.0</v>
      </c>
      <c r="O122" s="10">
        <f t="shared" ref="O122:O142" si="11">SUM(B122:N122)</f>
        <v>37756890</v>
      </c>
      <c r="P122" s="12">
        <f t="shared" ref="P122:P142" si="12">O122/$O$122</f>
        <v>1</v>
      </c>
    </row>
    <row r="123">
      <c r="A123" s="5" t="s">
        <v>18</v>
      </c>
      <c r="B123" s="23">
        <v>1797641.0</v>
      </c>
      <c r="C123" s="7">
        <v>1327433.0</v>
      </c>
      <c r="D123" s="7">
        <v>1.1130572E7</v>
      </c>
      <c r="E123" s="7">
        <v>183796.0</v>
      </c>
      <c r="F123" s="7">
        <v>2596803.0</v>
      </c>
      <c r="I123" s="23"/>
      <c r="J123" s="23">
        <v>986961.0</v>
      </c>
      <c r="K123" s="7">
        <v>169446.0</v>
      </c>
      <c r="L123" s="7">
        <v>9459055.0</v>
      </c>
      <c r="M123" s="7">
        <v>462168.0</v>
      </c>
      <c r="N123" s="7">
        <v>9643015.0</v>
      </c>
      <c r="O123" s="10">
        <f t="shared" si="11"/>
        <v>37756890</v>
      </c>
      <c r="P123" s="12">
        <f t="shared" si="12"/>
        <v>1</v>
      </c>
    </row>
    <row r="124">
      <c r="A124" s="4" t="s">
        <v>19</v>
      </c>
      <c r="B124" s="23">
        <v>1797641.0</v>
      </c>
      <c r="C124" s="7">
        <v>1327433.0</v>
      </c>
      <c r="D124" s="7">
        <v>1.1130572E7</v>
      </c>
      <c r="E124" s="7">
        <v>183796.0</v>
      </c>
      <c r="F124" s="7">
        <v>2512574.0</v>
      </c>
      <c r="I124" s="23"/>
      <c r="J124" s="23">
        <v>986961.0</v>
      </c>
      <c r="K124" s="7">
        <v>169446.0</v>
      </c>
      <c r="L124" s="7">
        <v>9436399.0</v>
      </c>
      <c r="M124" s="7">
        <v>462168.0</v>
      </c>
      <c r="N124" s="7">
        <v>9643015.0</v>
      </c>
      <c r="O124" s="10">
        <f t="shared" si="11"/>
        <v>37650005</v>
      </c>
      <c r="P124" s="12">
        <f t="shared" si="12"/>
        <v>0.997169126</v>
      </c>
    </row>
    <row r="125">
      <c r="A125" s="5" t="s">
        <v>20</v>
      </c>
      <c r="B125" s="23">
        <v>1797641.0</v>
      </c>
      <c r="C125" s="7">
        <v>1327433.0</v>
      </c>
      <c r="D125" s="7">
        <v>1.1130572E7</v>
      </c>
      <c r="E125" s="7">
        <v>183796.0</v>
      </c>
      <c r="F125" s="7">
        <v>2596803.0</v>
      </c>
      <c r="I125" s="23"/>
      <c r="J125" s="23">
        <v>986961.0</v>
      </c>
      <c r="K125" s="7">
        <v>169446.0</v>
      </c>
      <c r="L125" s="7">
        <v>9459055.0</v>
      </c>
      <c r="M125" s="7">
        <v>462168.0</v>
      </c>
      <c r="N125" s="7">
        <v>9643015.0</v>
      </c>
      <c r="O125" s="10">
        <f t="shared" si="11"/>
        <v>37756890</v>
      </c>
      <c r="P125" s="12">
        <f t="shared" si="12"/>
        <v>1</v>
      </c>
    </row>
    <row r="126">
      <c r="A126" s="5" t="s">
        <v>21</v>
      </c>
      <c r="B126" s="23">
        <v>1797641.0</v>
      </c>
      <c r="C126" s="7">
        <v>1327433.0</v>
      </c>
      <c r="D126" s="7">
        <v>1.1130572E7</v>
      </c>
      <c r="E126" s="7">
        <v>183796.0</v>
      </c>
      <c r="F126" s="7">
        <v>2596803.0</v>
      </c>
      <c r="I126" s="23"/>
      <c r="J126" s="23">
        <v>986961.0</v>
      </c>
      <c r="K126" s="7">
        <v>169446.0</v>
      </c>
      <c r="L126" s="7">
        <v>9459055.0</v>
      </c>
      <c r="M126" s="7">
        <v>462168.0</v>
      </c>
      <c r="N126" s="7">
        <v>9643015.0</v>
      </c>
      <c r="O126" s="10">
        <f t="shared" si="11"/>
        <v>37756890</v>
      </c>
      <c r="P126" s="12">
        <f t="shared" si="12"/>
        <v>1</v>
      </c>
    </row>
    <row r="127">
      <c r="A127" s="5" t="s">
        <v>22</v>
      </c>
      <c r="B127" s="23">
        <v>1284029.0</v>
      </c>
      <c r="C127" s="7">
        <v>948166.0</v>
      </c>
      <c r="D127" s="7">
        <v>7950409.0</v>
      </c>
      <c r="E127" s="7">
        <v>131282.0</v>
      </c>
      <c r="F127" s="7">
        <v>1854859.0</v>
      </c>
      <c r="I127" s="23"/>
      <c r="J127" s="23">
        <v>704972.0</v>
      </c>
      <c r="K127" s="7">
        <v>121033.0</v>
      </c>
      <c r="L127" s="7">
        <v>6756468.0</v>
      </c>
      <c r="M127" s="7">
        <v>330120.0</v>
      </c>
      <c r="N127" s="7">
        <v>6887868.0</v>
      </c>
      <c r="O127" s="10">
        <f t="shared" si="11"/>
        <v>26969206</v>
      </c>
      <c r="P127" s="12">
        <f t="shared" si="12"/>
        <v>0.714285684</v>
      </c>
    </row>
    <row r="128">
      <c r="A128" s="5" t="s">
        <v>23</v>
      </c>
      <c r="B128" s="23">
        <v>1797641.0</v>
      </c>
      <c r="C128" s="7">
        <v>1327433.0</v>
      </c>
      <c r="D128" s="7">
        <v>1.1130572E7</v>
      </c>
      <c r="E128" s="7">
        <v>183796.0</v>
      </c>
      <c r="F128" s="7">
        <v>2596803.0</v>
      </c>
      <c r="I128" s="23"/>
      <c r="J128" s="23">
        <v>986961.0</v>
      </c>
      <c r="K128" s="7">
        <v>169446.0</v>
      </c>
      <c r="L128" s="7">
        <v>9459055.0</v>
      </c>
      <c r="M128" s="7">
        <v>462168.0</v>
      </c>
      <c r="N128" s="7">
        <v>9643015.0</v>
      </c>
      <c r="O128" s="10">
        <f t="shared" si="11"/>
        <v>37756890</v>
      </c>
      <c r="P128" s="12">
        <f t="shared" si="12"/>
        <v>1</v>
      </c>
    </row>
    <row r="129">
      <c r="A129" s="5" t="s">
        <v>24</v>
      </c>
      <c r="B129" s="23">
        <v>1284029.0</v>
      </c>
      <c r="C129" s="7">
        <v>948166.0</v>
      </c>
      <c r="D129" s="7">
        <v>7950409.0</v>
      </c>
      <c r="E129" s="7">
        <v>131282.0</v>
      </c>
      <c r="F129" s="7">
        <v>1854859.0</v>
      </c>
      <c r="I129" s="23"/>
      <c r="J129" s="23">
        <v>704972.0</v>
      </c>
      <c r="K129" s="7">
        <v>121033.0</v>
      </c>
      <c r="L129" s="7">
        <v>6756468.0</v>
      </c>
      <c r="M129" s="7">
        <v>330120.0</v>
      </c>
      <c r="N129" s="7">
        <v>6887868.0</v>
      </c>
      <c r="O129" s="10">
        <f t="shared" si="11"/>
        <v>26969206</v>
      </c>
      <c r="P129" s="12">
        <f t="shared" si="12"/>
        <v>0.714285684</v>
      </c>
    </row>
    <row r="130">
      <c r="A130" s="5" t="s">
        <v>25</v>
      </c>
      <c r="B130" s="23">
        <v>1797641.0</v>
      </c>
      <c r="C130" s="7">
        <v>1327433.0</v>
      </c>
      <c r="D130" s="7">
        <v>1.1130572E7</v>
      </c>
      <c r="E130" s="7">
        <v>183796.0</v>
      </c>
      <c r="F130" s="7">
        <v>2596803.0</v>
      </c>
      <c r="I130" s="23"/>
      <c r="J130" s="23">
        <v>986961.0</v>
      </c>
      <c r="K130" s="7">
        <v>169446.0</v>
      </c>
      <c r="L130" s="7">
        <v>9459055.0</v>
      </c>
      <c r="M130" s="7">
        <v>462168.0</v>
      </c>
      <c r="N130" s="7">
        <v>9643015.0</v>
      </c>
      <c r="O130" s="10">
        <f t="shared" si="11"/>
        <v>37756890</v>
      </c>
      <c r="P130" s="12">
        <f t="shared" si="12"/>
        <v>1</v>
      </c>
    </row>
    <row r="131">
      <c r="A131" s="5" t="s">
        <v>26</v>
      </c>
      <c r="B131" s="23">
        <v>1797641.0</v>
      </c>
      <c r="C131" s="7">
        <v>1327433.0</v>
      </c>
      <c r="D131" s="7">
        <v>1.1130572E7</v>
      </c>
      <c r="E131" s="7">
        <v>183796.0</v>
      </c>
      <c r="F131" s="7">
        <v>2596803.0</v>
      </c>
      <c r="I131" s="23"/>
      <c r="J131" s="23">
        <v>986961.0</v>
      </c>
      <c r="K131" s="7">
        <v>169446.0</v>
      </c>
      <c r="L131" s="7">
        <v>9459055.0</v>
      </c>
      <c r="M131" s="7">
        <v>462168.0</v>
      </c>
      <c r="N131" s="7">
        <v>9643015.0</v>
      </c>
      <c r="O131" s="10">
        <f t="shared" si="11"/>
        <v>37756890</v>
      </c>
      <c r="P131" s="12">
        <f t="shared" si="12"/>
        <v>1</v>
      </c>
    </row>
    <row r="132">
      <c r="A132" s="5" t="s">
        <v>27</v>
      </c>
      <c r="B132" s="23">
        <v>1797641.0</v>
      </c>
      <c r="C132" s="7">
        <v>1327433.0</v>
      </c>
      <c r="D132" s="7">
        <v>1.1130572E7</v>
      </c>
      <c r="E132" s="7">
        <v>183796.0</v>
      </c>
      <c r="F132" s="7">
        <v>2596803.0</v>
      </c>
      <c r="I132" s="23"/>
      <c r="J132" s="23">
        <v>986961.0</v>
      </c>
      <c r="K132" s="7">
        <v>169446.0</v>
      </c>
      <c r="L132" s="7">
        <v>9459055.0</v>
      </c>
      <c r="M132" s="7">
        <v>462168.0</v>
      </c>
      <c r="N132" s="7">
        <v>9643015.0</v>
      </c>
      <c r="O132" s="10">
        <f t="shared" si="11"/>
        <v>37756890</v>
      </c>
      <c r="P132" s="12">
        <f t="shared" si="12"/>
        <v>1</v>
      </c>
    </row>
    <row r="133">
      <c r="A133" s="5" t="s">
        <v>28</v>
      </c>
      <c r="B133" s="23">
        <v>1590513.0</v>
      </c>
      <c r="C133" s="7">
        <v>1194689.0</v>
      </c>
      <c r="D133" s="7">
        <v>1.0017515E7</v>
      </c>
      <c r="E133" s="7">
        <v>153306.0</v>
      </c>
      <c r="F133" s="7">
        <v>2337123.0</v>
      </c>
      <c r="I133" s="23"/>
      <c r="J133" s="23">
        <v>888265.0</v>
      </c>
      <c r="K133" s="7">
        <v>135557.0</v>
      </c>
      <c r="L133" s="7">
        <v>8513149.0</v>
      </c>
      <c r="M133" s="7">
        <v>369734.0</v>
      </c>
      <c r="N133" s="7">
        <v>7816904.0</v>
      </c>
      <c r="O133" s="10">
        <f t="shared" si="11"/>
        <v>33016755</v>
      </c>
      <c r="P133" s="12">
        <f t="shared" si="12"/>
        <v>0.8744564237</v>
      </c>
    </row>
    <row r="134">
      <c r="A134" s="5" t="s">
        <v>29</v>
      </c>
      <c r="B134" s="23">
        <v>1797641.0</v>
      </c>
      <c r="C134" s="7">
        <v>1327433.0</v>
      </c>
      <c r="D134" s="7">
        <v>1.1130572E7</v>
      </c>
      <c r="E134" s="7">
        <v>183796.0</v>
      </c>
      <c r="F134" s="7">
        <v>2596803.0</v>
      </c>
      <c r="I134" s="23"/>
      <c r="J134" s="23">
        <v>986961.0</v>
      </c>
      <c r="K134" s="7">
        <v>169446.0</v>
      </c>
      <c r="L134" s="7">
        <v>9459055.0</v>
      </c>
      <c r="M134" s="7">
        <v>462168.0</v>
      </c>
      <c r="N134" s="7">
        <v>9643015.0</v>
      </c>
      <c r="O134" s="10">
        <f t="shared" si="11"/>
        <v>37756890</v>
      </c>
      <c r="P134" s="12">
        <f t="shared" si="12"/>
        <v>1</v>
      </c>
    </row>
    <row r="135">
      <c r="A135" s="5" t="s">
        <v>30</v>
      </c>
      <c r="B135" s="23">
        <v>1797641.0</v>
      </c>
      <c r="C135" s="7">
        <v>1327433.0</v>
      </c>
      <c r="D135" s="7">
        <v>1.1130572E7</v>
      </c>
      <c r="E135" s="7">
        <v>183796.0</v>
      </c>
      <c r="F135" s="7">
        <v>2596803.0</v>
      </c>
      <c r="I135" s="23"/>
      <c r="J135" s="23">
        <v>986961.0</v>
      </c>
      <c r="K135" s="7">
        <v>169446.0</v>
      </c>
      <c r="L135" s="7">
        <v>9459055.0</v>
      </c>
      <c r="M135" s="7">
        <v>462168.0</v>
      </c>
      <c r="N135" s="7">
        <v>9643015.0</v>
      </c>
      <c r="O135" s="10">
        <f t="shared" si="11"/>
        <v>37756890</v>
      </c>
      <c r="P135" s="12">
        <f t="shared" si="12"/>
        <v>1</v>
      </c>
    </row>
    <row r="136">
      <c r="A136" s="5" t="s">
        <v>31</v>
      </c>
      <c r="B136" s="23">
        <v>1617877.0</v>
      </c>
      <c r="C136" s="7">
        <v>1194689.0</v>
      </c>
      <c r="D136" s="7">
        <v>1.0017515E7</v>
      </c>
      <c r="E136" s="7">
        <v>165416.0</v>
      </c>
      <c r="F136" s="7">
        <v>2337123.0</v>
      </c>
      <c r="I136" s="23"/>
      <c r="J136" s="23">
        <v>888265.0</v>
      </c>
      <c r="K136" s="7">
        <v>152502.0</v>
      </c>
      <c r="L136" s="7">
        <v>8513149.0</v>
      </c>
      <c r="M136" s="7">
        <v>415951.0</v>
      </c>
      <c r="N136" s="7">
        <v>8678714.0</v>
      </c>
      <c r="O136" s="10">
        <f t="shared" si="11"/>
        <v>33981201</v>
      </c>
      <c r="P136" s="12">
        <f t="shared" si="12"/>
        <v>0.9</v>
      </c>
    </row>
    <row r="137">
      <c r="A137" s="5" t="s">
        <v>32</v>
      </c>
      <c r="B137" s="23">
        <v>1797641.0</v>
      </c>
      <c r="C137" s="7">
        <v>1327433.0</v>
      </c>
      <c r="D137" s="7">
        <v>1.1130572E7</v>
      </c>
      <c r="E137" s="7">
        <v>183796.0</v>
      </c>
      <c r="F137" s="7">
        <v>2596803.0</v>
      </c>
      <c r="I137" s="23"/>
      <c r="J137" s="23">
        <v>986961.0</v>
      </c>
      <c r="K137" s="7">
        <v>169446.0</v>
      </c>
      <c r="L137" s="7">
        <v>9459055.0</v>
      </c>
      <c r="M137" s="7">
        <v>462168.0</v>
      </c>
      <c r="N137" s="7">
        <v>9643015.0</v>
      </c>
      <c r="O137" s="10">
        <f t="shared" si="11"/>
        <v>37756890</v>
      </c>
      <c r="P137" s="12">
        <f t="shared" si="12"/>
        <v>1</v>
      </c>
    </row>
    <row r="138">
      <c r="A138" s="4" t="s">
        <v>33</v>
      </c>
      <c r="B138" s="23">
        <v>1718949.0</v>
      </c>
      <c r="C138" s="7">
        <v>1283887.0</v>
      </c>
      <c r="D138" s="7">
        <v>9647438.0</v>
      </c>
      <c r="E138" s="7">
        <v>174838.0</v>
      </c>
      <c r="F138" s="7">
        <v>2337673.0</v>
      </c>
      <c r="I138" s="23"/>
      <c r="J138" s="23">
        <v>939534.0</v>
      </c>
      <c r="K138" s="7">
        <v>169446.0</v>
      </c>
      <c r="L138" s="7">
        <v>8544881.0</v>
      </c>
      <c r="M138" s="7">
        <v>462168.0</v>
      </c>
      <c r="N138" s="7">
        <v>9608664.0</v>
      </c>
      <c r="O138" s="10">
        <f t="shared" si="11"/>
        <v>34887478</v>
      </c>
      <c r="P138" s="12">
        <f t="shared" si="12"/>
        <v>0.9240029568</v>
      </c>
    </row>
    <row r="139">
      <c r="A139" s="5" t="s">
        <v>34</v>
      </c>
      <c r="B139" s="23">
        <v>1797641.0</v>
      </c>
      <c r="C139" s="7">
        <v>1327433.0</v>
      </c>
      <c r="D139" s="7">
        <v>1.1130572E7</v>
      </c>
      <c r="E139" s="7">
        <v>183796.0</v>
      </c>
      <c r="F139" s="7">
        <v>2596803.0</v>
      </c>
      <c r="I139" s="23"/>
      <c r="J139" s="23">
        <v>986961.0</v>
      </c>
      <c r="K139" s="7">
        <v>169446.0</v>
      </c>
      <c r="L139" s="7">
        <v>9459055.0</v>
      </c>
      <c r="M139" s="7">
        <v>462168.0</v>
      </c>
      <c r="N139" s="7">
        <v>9643015.0</v>
      </c>
      <c r="O139" s="10">
        <f t="shared" si="11"/>
        <v>37756890</v>
      </c>
      <c r="P139" s="12">
        <f t="shared" si="12"/>
        <v>1</v>
      </c>
    </row>
    <row r="140">
      <c r="A140" s="5" t="s">
        <v>35</v>
      </c>
      <c r="B140" s="23">
        <v>1462988.0</v>
      </c>
      <c r="C140" s="7">
        <v>1061946.0</v>
      </c>
      <c r="D140" s="7">
        <v>9316180.0</v>
      </c>
      <c r="E140" s="7">
        <v>147036.0</v>
      </c>
      <c r="F140" s="7">
        <v>2115691.0</v>
      </c>
      <c r="I140" s="23"/>
      <c r="J140" s="23">
        <v>789569.0</v>
      </c>
      <c r="K140" s="7">
        <v>135557.0</v>
      </c>
      <c r="L140" s="7">
        <v>7686477.0</v>
      </c>
      <c r="M140" s="7">
        <v>369734.0</v>
      </c>
      <c r="N140" s="7">
        <v>7720364.0</v>
      </c>
      <c r="O140" s="10">
        <f t="shared" si="11"/>
        <v>30805542</v>
      </c>
      <c r="P140" s="12">
        <f t="shared" si="12"/>
        <v>0.8158919339</v>
      </c>
    </row>
    <row r="141">
      <c r="A141" s="5" t="s">
        <v>36</v>
      </c>
      <c r="B141" s="23">
        <v>1797641.0</v>
      </c>
      <c r="C141" s="7">
        <v>1327433.0</v>
      </c>
      <c r="D141" s="7">
        <v>1.1130572E7</v>
      </c>
      <c r="E141" s="7">
        <v>183796.0</v>
      </c>
      <c r="F141" s="7">
        <v>2596803.0</v>
      </c>
      <c r="I141" s="23"/>
      <c r="J141" s="23">
        <v>986961.0</v>
      </c>
      <c r="K141" s="7">
        <v>169446.0</v>
      </c>
      <c r="L141" s="7">
        <v>9459055.0</v>
      </c>
      <c r="M141" s="7">
        <v>462168.0</v>
      </c>
      <c r="N141" s="7">
        <v>9643015.0</v>
      </c>
      <c r="O141" s="10">
        <f t="shared" si="11"/>
        <v>37756890</v>
      </c>
      <c r="P141" s="12">
        <f t="shared" si="12"/>
        <v>1</v>
      </c>
    </row>
    <row r="142">
      <c r="A142" s="4" t="s">
        <v>37</v>
      </c>
      <c r="B142" s="23">
        <v>1718949.0</v>
      </c>
      <c r="C142" s="7">
        <v>1283887.0</v>
      </c>
      <c r="D142" s="7">
        <v>9607350.0</v>
      </c>
      <c r="E142" s="7">
        <v>174838.0</v>
      </c>
      <c r="F142" s="7">
        <v>2336289.0</v>
      </c>
      <c r="I142" s="23"/>
      <c r="J142" s="23">
        <v>939534.0</v>
      </c>
      <c r="K142" s="7">
        <v>169446.0</v>
      </c>
      <c r="L142" s="7">
        <v>8530871.0</v>
      </c>
      <c r="M142" s="7">
        <v>462168.0</v>
      </c>
      <c r="N142" s="7">
        <v>9608664.0</v>
      </c>
      <c r="O142" s="10">
        <f t="shared" si="11"/>
        <v>34831996</v>
      </c>
      <c r="P142" s="12">
        <f t="shared" si="12"/>
        <v>0.9225335032</v>
      </c>
    </row>
    <row r="145">
      <c r="B145" s="1">
        <v>45841.0</v>
      </c>
      <c r="C145" s="1">
        <v>45842.0</v>
      </c>
      <c r="D145" s="1">
        <v>45848.0</v>
      </c>
      <c r="E145" s="1">
        <v>45855.0</v>
      </c>
      <c r="F145" s="1">
        <v>45862.0</v>
      </c>
      <c r="G145" s="1">
        <v>45863.0</v>
      </c>
      <c r="H145" s="1">
        <v>45868.0</v>
      </c>
      <c r="I145" s="1"/>
      <c r="J145" s="1">
        <v>45843.0</v>
      </c>
      <c r="K145" s="1">
        <v>45853.0</v>
      </c>
      <c r="L145" s="1">
        <v>45865.0</v>
      </c>
      <c r="M145" s="1">
        <v>45869.0</v>
      </c>
      <c r="N145" s="1"/>
      <c r="O145" s="4" t="s">
        <v>4</v>
      </c>
    </row>
    <row r="146">
      <c r="A146" s="5" t="s">
        <v>5</v>
      </c>
      <c r="B146" s="23">
        <v>246871.0</v>
      </c>
      <c r="C146" s="7">
        <v>955774.0</v>
      </c>
      <c r="D146" s="7">
        <v>1852836.0</v>
      </c>
      <c r="E146" s="7">
        <v>4842605.0</v>
      </c>
      <c r="F146" s="7">
        <v>3507887.0</v>
      </c>
      <c r="G146" s="7">
        <v>4120297.0</v>
      </c>
      <c r="H146" s="8">
        <v>8269739.0</v>
      </c>
      <c r="I146" s="23"/>
      <c r="J146" s="23">
        <v>212333.0</v>
      </c>
      <c r="K146" s="7">
        <v>7430652.0</v>
      </c>
      <c r="L146" s="7">
        <v>323414.0</v>
      </c>
      <c r="M146" s="7">
        <v>1.3754887E7</v>
      </c>
      <c r="N146" s="7"/>
      <c r="O146" s="10">
        <f t="shared" ref="O146:O166" si="13">SUM(B146:N146)</f>
        <v>45517295</v>
      </c>
      <c r="P146" s="12">
        <f t="shared" ref="P146:P166" si="14">O146/$O$146</f>
        <v>1</v>
      </c>
    </row>
    <row r="147">
      <c r="A147" s="5" t="s">
        <v>18</v>
      </c>
      <c r="B147" s="23">
        <v>246871.0</v>
      </c>
      <c r="C147" s="7">
        <v>955774.0</v>
      </c>
      <c r="D147" s="7">
        <v>1852836.0</v>
      </c>
      <c r="E147" s="7">
        <v>4842605.0</v>
      </c>
      <c r="F147" s="7">
        <v>3507887.0</v>
      </c>
      <c r="G147" s="7">
        <v>4120297.0</v>
      </c>
      <c r="H147" s="14">
        <v>8269739.0</v>
      </c>
      <c r="I147" s="23"/>
      <c r="J147" s="23">
        <v>212333.0</v>
      </c>
      <c r="K147" s="7">
        <v>7430652.0</v>
      </c>
      <c r="L147" s="7">
        <v>323414.0</v>
      </c>
      <c r="M147" s="7">
        <v>1.3754887E7</v>
      </c>
      <c r="N147" s="7"/>
      <c r="O147" s="10">
        <f t="shared" si="13"/>
        <v>45517295</v>
      </c>
      <c r="P147" s="12">
        <f t="shared" si="14"/>
        <v>1</v>
      </c>
    </row>
    <row r="148">
      <c r="A148" s="4" t="s">
        <v>19</v>
      </c>
      <c r="B148" s="23">
        <v>246871.0</v>
      </c>
      <c r="C148" s="7">
        <v>955774.0</v>
      </c>
      <c r="D148" s="7">
        <v>1852836.0</v>
      </c>
      <c r="E148" s="7">
        <v>4842605.0</v>
      </c>
      <c r="F148" s="7">
        <v>3507887.0</v>
      </c>
      <c r="G148" s="7">
        <v>4120297.0</v>
      </c>
      <c r="H148" s="14">
        <v>8269739.0</v>
      </c>
      <c r="I148" s="23"/>
      <c r="J148" s="23">
        <v>212333.0</v>
      </c>
      <c r="K148" s="7">
        <v>7430652.0</v>
      </c>
      <c r="L148" s="7">
        <v>323414.0</v>
      </c>
      <c r="M148" s="7">
        <v>1.3754887E7</v>
      </c>
      <c r="N148" s="7"/>
      <c r="O148" s="10">
        <f t="shared" si="13"/>
        <v>45517295</v>
      </c>
      <c r="P148" s="12">
        <f t="shared" si="14"/>
        <v>1</v>
      </c>
    </row>
    <row r="149">
      <c r="A149" s="5" t="s">
        <v>20</v>
      </c>
      <c r="B149" s="23">
        <v>246871.0</v>
      </c>
      <c r="C149" s="7">
        <v>955774.0</v>
      </c>
      <c r="D149" s="7">
        <v>1852836.0</v>
      </c>
      <c r="E149" s="7">
        <v>4842605.0</v>
      </c>
      <c r="F149" s="7">
        <v>3507887.0</v>
      </c>
      <c r="G149" s="7">
        <v>4120297.0</v>
      </c>
      <c r="H149" s="14">
        <v>8269739.0</v>
      </c>
      <c r="I149" s="23"/>
      <c r="J149" s="23">
        <v>212333.0</v>
      </c>
      <c r="K149" s="7">
        <v>7430652.0</v>
      </c>
      <c r="L149" s="7">
        <v>323414.0</v>
      </c>
      <c r="M149" s="7">
        <v>1.3754887E7</v>
      </c>
      <c r="N149" s="7"/>
      <c r="O149" s="10">
        <f t="shared" si="13"/>
        <v>45517295</v>
      </c>
      <c r="P149" s="12">
        <f t="shared" si="14"/>
        <v>1</v>
      </c>
    </row>
    <row r="150">
      <c r="A150" s="5" t="s">
        <v>21</v>
      </c>
      <c r="B150" s="23">
        <v>246871.0</v>
      </c>
      <c r="C150" s="7">
        <v>955774.0</v>
      </c>
      <c r="D150" s="7">
        <v>1852836.0</v>
      </c>
      <c r="E150" s="7">
        <v>4842605.0</v>
      </c>
      <c r="F150" s="7">
        <v>3507887.0</v>
      </c>
      <c r="G150" s="7">
        <v>4120297.0</v>
      </c>
      <c r="H150" s="14">
        <v>8269739.0</v>
      </c>
      <c r="I150" s="23"/>
      <c r="J150" s="23">
        <v>212333.0</v>
      </c>
      <c r="K150" s="7">
        <v>7430652.0</v>
      </c>
      <c r="L150" s="7">
        <v>323414.0</v>
      </c>
      <c r="M150" s="7">
        <v>1.3754887E7</v>
      </c>
      <c r="N150" s="7"/>
      <c r="O150" s="10">
        <f t="shared" si="13"/>
        <v>45517295</v>
      </c>
      <c r="P150" s="12">
        <f t="shared" si="14"/>
        <v>1</v>
      </c>
    </row>
    <row r="151">
      <c r="A151" s="5" t="s">
        <v>22</v>
      </c>
      <c r="B151" s="23">
        <v>176336.0</v>
      </c>
      <c r="C151" s="7">
        <v>682696.0</v>
      </c>
      <c r="D151" s="7">
        <v>1323454.0</v>
      </c>
      <c r="E151" s="7">
        <v>3459003.0</v>
      </c>
      <c r="F151" s="7">
        <v>2505633.0</v>
      </c>
      <c r="G151" s="7">
        <v>2943069.0</v>
      </c>
      <c r="H151" s="14">
        <v>5906956.0</v>
      </c>
      <c r="I151" s="23"/>
      <c r="J151" s="23">
        <v>151667.0</v>
      </c>
      <c r="K151" s="7">
        <v>5307609.0</v>
      </c>
      <c r="L151" s="7">
        <v>231010.0</v>
      </c>
      <c r="M151" s="7">
        <v>9824919.0</v>
      </c>
      <c r="N151" s="7"/>
      <c r="O151" s="10">
        <f t="shared" si="13"/>
        <v>32512352</v>
      </c>
      <c r="P151" s="12">
        <f t="shared" si="14"/>
        <v>0.7142856798</v>
      </c>
    </row>
    <row r="152">
      <c r="A152" s="5" t="s">
        <v>23</v>
      </c>
      <c r="B152" s="23">
        <v>246871.0</v>
      </c>
      <c r="C152" s="7">
        <v>955774.0</v>
      </c>
      <c r="D152" s="7">
        <v>1852836.0</v>
      </c>
      <c r="E152" s="7">
        <v>4842605.0</v>
      </c>
      <c r="F152" s="7">
        <v>3507887.0</v>
      </c>
      <c r="G152" s="7">
        <v>4120297.0</v>
      </c>
      <c r="H152" s="14">
        <v>8269739.0</v>
      </c>
      <c r="I152" s="23"/>
      <c r="J152" s="23">
        <v>212333.0</v>
      </c>
      <c r="K152" s="7">
        <v>7430652.0</v>
      </c>
      <c r="L152" s="7">
        <v>323414.0</v>
      </c>
      <c r="M152" s="7">
        <v>1.3754887E7</v>
      </c>
      <c r="N152" s="7"/>
      <c r="O152" s="10">
        <f t="shared" si="13"/>
        <v>45517295</v>
      </c>
      <c r="P152" s="12">
        <f t="shared" si="14"/>
        <v>1</v>
      </c>
    </row>
    <row r="153">
      <c r="A153" s="5" t="s">
        <v>24</v>
      </c>
      <c r="B153" s="23">
        <v>176336.0</v>
      </c>
      <c r="C153" s="7">
        <v>682696.0</v>
      </c>
      <c r="D153" s="7">
        <v>1323454.0</v>
      </c>
      <c r="E153" s="7">
        <v>3459003.0</v>
      </c>
      <c r="F153" s="7">
        <v>2505633.0</v>
      </c>
      <c r="G153" s="7">
        <v>2943069.0</v>
      </c>
      <c r="H153" s="14">
        <v>5906956.0</v>
      </c>
      <c r="I153" s="23"/>
      <c r="J153" s="23">
        <v>151667.0</v>
      </c>
      <c r="K153" s="7">
        <v>5307609.0</v>
      </c>
      <c r="L153" s="7">
        <v>231010.0</v>
      </c>
      <c r="M153" s="7">
        <v>9824919.0</v>
      </c>
      <c r="N153" s="7"/>
      <c r="O153" s="10">
        <f t="shared" si="13"/>
        <v>32512352</v>
      </c>
      <c r="P153" s="12">
        <f t="shared" si="14"/>
        <v>0.7142856798</v>
      </c>
    </row>
    <row r="154">
      <c r="A154" s="5" t="s">
        <v>25</v>
      </c>
      <c r="B154" s="23">
        <v>246871.0</v>
      </c>
      <c r="C154" s="7">
        <v>955774.0</v>
      </c>
      <c r="D154" s="7">
        <v>1852836.0</v>
      </c>
      <c r="E154" s="7">
        <v>4842605.0</v>
      </c>
      <c r="F154" s="7">
        <v>3507887.0</v>
      </c>
      <c r="G154" s="7">
        <v>4120297.0</v>
      </c>
      <c r="H154" s="14">
        <v>8269739.0</v>
      </c>
      <c r="I154" s="23"/>
      <c r="J154" s="23">
        <v>212333.0</v>
      </c>
      <c r="K154" s="7">
        <v>7430652.0</v>
      </c>
      <c r="L154" s="7">
        <v>323414.0</v>
      </c>
      <c r="M154" s="7">
        <v>1.3754887E7</v>
      </c>
      <c r="N154" s="7"/>
      <c r="O154" s="10">
        <f t="shared" si="13"/>
        <v>45517295</v>
      </c>
      <c r="P154" s="12">
        <f t="shared" si="14"/>
        <v>1</v>
      </c>
    </row>
    <row r="155">
      <c r="A155" s="5" t="s">
        <v>26</v>
      </c>
      <c r="B155" s="23">
        <v>246871.0</v>
      </c>
      <c r="C155" s="7">
        <v>955774.0</v>
      </c>
      <c r="D155" s="7">
        <v>1852836.0</v>
      </c>
      <c r="E155" s="7">
        <v>4842605.0</v>
      </c>
      <c r="F155" s="7">
        <v>3507887.0</v>
      </c>
      <c r="G155" s="7">
        <v>4120297.0</v>
      </c>
      <c r="H155" s="14">
        <v>8269739.0</v>
      </c>
      <c r="I155" s="23"/>
      <c r="J155" s="23">
        <v>212333.0</v>
      </c>
      <c r="K155" s="7">
        <v>7430652.0</v>
      </c>
      <c r="L155" s="7">
        <v>323414.0</v>
      </c>
      <c r="M155" s="7">
        <v>1.3754887E7</v>
      </c>
      <c r="N155" s="7"/>
      <c r="O155" s="10">
        <f t="shared" si="13"/>
        <v>45517295</v>
      </c>
      <c r="P155" s="12">
        <f t="shared" si="14"/>
        <v>1</v>
      </c>
    </row>
    <row r="156">
      <c r="A156" s="5" t="s">
        <v>27</v>
      </c>
      <c r="B156" s="23">
        <v>246871.0</v>
      </c>
      <c r="C156" s="7">
        <v>955774.0</v>
      </c>
      <c r="D156" s="7">
        <v>1852836.0</v>
      </c>
      <c r="E156" s="7">
        <v>4842605.0</v>
      </c>
      <c r="F156" s="7">
        <v>3507887.0</v>
      </c>
      <c r="G156" s="7">
        <v>4120297.0</v>
      </c>
      <c r="H156" s="14">
        <v>8269739.0</v>
      </c>
      <c r="I156" s="23"/>
      <c r="J156" s="23">
        <v>212333.0</v>
      </c>
      <c r="K156" s="7">
        <v>7430652.0</v>
      </c>
      <c r="L156" s="7">
        <v>323414.0</v>
      </c>
      <c r="M156" s="7">
        <v>1.3754887E7</v>
      </c>
      <c r="N156" s="7"/>
      <c r="O156" s="10">
        <f t="shared" si="13"/>
        <v>45517295</v>
      </c>
      <c r="P156" s="12">
        <f t="shared" si="14"/>
        <v>1</v>
      </c>
    </row>
    <row r="157">
      <c r="A157" s="5" t="s">
        <v>28</v>
      </c>
      <c r="B157" s="23">
        <v>207528.0</v>
      </c>
      <c r="C157" s="7">
        <v>860197.0</v>
      </c>
      <c r="D157" s="7">
        <v>1558295.0</v>
      </c>
      <c r="E157" s="7">
        <v>4191229.0</v>
      </c>
      <c r="F157" s="7">
        <v>2806309.0</v>
      </c>
      <c r="G157" s="7">
        <v>3565208.0</v>
      </c>
      <c r="H157" s="14">
        <v>7376591.0</v>
      </c>
      <c r="I157" s="23"/>
      <c r="J157" s="23">
        <v>171292.0</v>
      </c>
      <c r="K157" s="7">
        <v>6464588.0</v>
      </c>
      <c r="L157" s="7">
        <v>258731.0</v>
      </c>
      <c r="M157" s="7">
        <v>1.1067823E7</v>
      </c>
      <c r="N157" s="7"/>
      <c r="O157" s="10">
        <f t="shared" si="13"/>
        <v>38527791</v>
      </c>
      <c r="P157" s="12">
        <f t="shared" si="14"/>
        <v>0.846442896</v>
      </c>
    </row>
    <row r="158">
      <c r="A158" s="5" t="s">
        <v>29</v>
      </c>
      <c r="B158" s="23">
        <v>246871.0</v>
      </c>
      <c r="C158" s="7">
        <v>955774.0</v>
      </c>
      <c r="D158" s="7">
        <v>1852836.0</v>
      </c>
      <c r="E158" s="7">
        <v>4842605.0</v>
      </c>
      <c r="F158" s="7">
        <v>3507887.0</v>
      </c>
      <c r="G158" s="7">
        <v>4120297.0</v>
      </c>
      <c r="H158" s="14">
        <v>8269739.0</v>
      </c>
      <c r="I158" s="23"/>
      <c r="J158" s="23">
        <v>212333.0</v>
      </c>
      <c r="K158" s="7">
        <v>7430652.0</v>
      </c>
      <c r="L158" s="7">
        <v>323414.0</v>
      </c>
      <c r="M158" s="7">
        <v>1.3754887E7</v>
      </c>
      <c r="N158" s="7"/>
      <c r="O158" s="10">
        <f t="shared" si="13"/>
        <v>45517295</v>
      </c>
      <c r="P158" s="12">
        <f t="shared" si="14"/>
        <v>1</v>
      </c>
    </row>
    <row r="159">
      <c r="A159" s="5" t="s">
        <v>30</v>
      </c>
      <c r="B159" s="23">
        <v>246871.0</v>
      </c>
      <c r="C159" s="7">
        <v>955774.0</v>
      </c>
      <c r="D159" s="7">
        <v>1852836.0</v>
      </c>
      <c r="E159" s="7">
        <v>4842605.0</v>
      </c>
      <c r="F159" s="7">
        <v>3507887.0</v>
      </c>
      <c r="G159" s="7">
        <v>4120297.0</v>
      </c>
      <c r="H159" s="14">
        <v>8269739.0</v>
      </c>
      <c r="I159" s="23"/>
      <c r="J159" s="23">
        <v>212333.0</v>
      </c>
      <c r="K159" s="7">
        <v>7430652.0</v>
      </c>
      <c r="L159" s="7">
        <v>323414.0</v>
      </c>
      <c r="M159" s="7">
        <v>1.3754887E7</v>
      </c>
      <c r="N159" s="7"/>
      <c r="O159" s="10">
        <f t="shared" si="13"/>
        <v>45517295</v>
      </c>
      <c r="P159" s="12">
        <f t="shared" si="14"/>
        <v>1</v>
      </c>
    </row>
    <row r="160">
      <c r="A160" s="5" t="s">
        <v>31</v>
      </c>
      <c r="B160" s="23">
        <v>222184.0</v>
      </c>
      <c r="C160" s="7">
        <v>860197.0</v>
      </c>
      <c r="D160" s="7">
        <v>1667553.0</v>
      </c>
      <c r="E160" s="7">
        <v>4358345.0</v>
      </c>
      <c r="F160" s="7">
        <v>3157098.0</v>
      </c>
      <c r="G160" s="7">
        <v>3708267.0</v>
      </c>
      <c r="H160" s="14">
        <v>7442765.0</v>
      </c>
      <c r="I160" s="23"/>
      <c r="J160" s="23">
        <v>191100.0</v>
      </c>
      <c r="K160" s="7">
        <v>6687587.0</v>
      </c>
      <c r="L160" s="7">
        <v>291072.0</v>
      </c>
      <c r="M160" s="7">
        <v>1.2379398E7</v>
      </c>
      <c r="N160" s="7"/>
      <c r="O160" s="10">
        <f t="shared" si="13"/>
        <v>40965566</v>
      </c>
      <c r="P160" s="12">
        <f t="shared" si="14"/>
        <v>0.900000011</v>
      </c>
    </row>
    <row r="161">
      <c r="A161" s="5" t="s">
        <v>32</v>
      </c>
      <c r="B161" s="23">
        <v>246871.0</v>
      </c>
      <c r="C161" s="7">
        <v>955774.0</v>
      </c>
      <c r="D161" s="7">
        <v>1852836.0</v>
      </c>
      <c r="E161" s="7">
        <v>4842605.0</v>
      </c>
      <c r="F161" s="7">
        <v>3507887.0</v>
      </c>
      <c r="G161" s="7">
        <v>4120297.0</v>
      </c>
      <c r="H161" s="14">
        <v>8269739.0</v>
      </c>
      <c r="I161" s="23"/>
      <c r="J161" s="23">
        <v>212333.0</v>
      </c>
      <c r="K161" s="7">
        <v>7430652.0</v>
      </c>
      <c r="L161" s="7">
        <v>323414.0</v>
      </c>
      <c r="M161" s="7">
        <v>1.3754887E7</v>
      </c>
      <c r="N161" s="7"/>
      <c r="O161" s="10">
        <f t="shared" si="13"/>
        <v>45517295</v>
      </c>
      <c r="P161" s="12">
        <f t="shared" si="14"/>
        <v>1</v>
      </c>
    </row>
    <row r="162">
      <c r="A162" s="4" t="s">
        <v>33</v>
      </c>
      <c r="B162" s="23">
        <v>232541.0</v>
      </c>
      <c r="C162" s="7">
        <v>891493.0</v>
      </c>
      <c r="D162" s="7">
        <v>1843466.0</v>
      </c>
      <c r="E162" s="7">
        <v>4530021.0</v>
      </c>
      <c r="F162" s="7">
        <v>3507887.0</v>
      </c>
      <c r="G162" s="7">
        <v>3759056.0</v>
      </c>
      <c r="H162" s="14">
        <v>8126115.0</v>
      </c>
      <c r="I162" s="23"/>
      <c r="J162" s="23">
        <v>212333.0</v>
      </c>
      <c r="K162" s="7">
        <v>6675702.0</v>
      </c>
      <c r="L162" s="7">
        <v>323414.0</v>
      </c>
      <c r="M162" s="7">
        <v>1.3750918E7</v>
      </c>
      <c r="N162" s="7"/>
      <c r="O162" s="10">
        <f t="shared" si="13"/>
        <v>43852946</v>
      </c>
      <c r="P162" s="12">
        <f t="shared" si="14"/>
        <v>0.9634347999</v>
      </c>
    </row>
    <row r="163">
      <c r="A163" s="5" t="s">
        <v>34</v>
      </c>
      <c r="B163" s="23">
        <v>246871.0</v>
      </c>
      <c r="C163" s="7">
        <v>955774.0</v>
      </c>
      <c r="D163" s="7">
        <v>1852836.0</v>
      </c>
      <c r="E163" s="7">
        <v>4842605.0</v>
      </c>
      <c r="F163" s="7">
        <v>3507887.0</v>
      </c>
      <c r="G163" s="7">
        <v>4120297.0</v>
      </c>
      <c r="H163" s="14">
        <v>8269739.0</v>
      </c>
      <c r="I163" s="23"/>
      <c r="J163" s="23">
        <v>212333.0</v>
      </c>
      <c r="K163" s="7">
        <v>7430652.0</v>
      </c>
      <c r="L163" s="7">
        <v>323414.0</v>
      </c>
      <c r="M163" s="7">
        <v>1.3754887E7</v>
      </c>
      <c r="N163" s="7"/>
      <c r="O163" s="10">
        <f t="shared" si="13"/>
        <v>45517295</v>
      </c>
      <c r="P163" s="12">
        <f t="shared" si="14"/>
        <v>1</v>
      </c>
    </row>
    <row r="164">
      <c r="A164" s="5" t="s">
        <v>35</v>
      </c>
      <c r="B164" s="23">
        <v>197497.0</v>
      </c>
      <c r="C164" s="7">
        <v>767748.0</v>
      </c>
      <c r="D164" s="7">
        <v>1482269.0</v>
      </c>
      <c r="E164" s="7">
        <v>3886177.0</v>
      </c>
      <c r="F164" s="7">
        <v>2806309.0</v>
      </c>
      <c r="G164" s="7">
        <v>3303264.0</v>
      </c>
      <c r="H164" s="14">
        <v>6653242.0</v>
      </c>
      <c r="I164" s="23"/>
      <c r="J164" s="23">
        <v>169867.0</v>
      </c>
      <c r="K164" s="7">
        <v>6040124.0</v>
      </c>
      <c r="L164" s="7">
        <v>258731.0</v>
      </c>
      <c r="M164" s="7">
        <v>1.1003909E7</v>
      </c>
      <c r="N164" s="7"/>
      <c r="O164" s="10">
        <f t="shared" si="13"/>
        <v>36569137</v>
      </c>
      <c r="P164" s="12">
        <f t="shared" si="14"/>
        <v>0.8034119119</v>
      </c>
    </row>
    <row r="165">
      <c r="A165" s="5" t="s">
        <v>36</v>
      </c>
      <c r="B165" s="23">
        <v>246871.0</v>
      </c>
      <c r="C165" s="7">
        <v>955774.0</v>
      </c>
      <c r="D165" s="7">
        <v>1852836.0</v>
      </c>
      <c r="E165" s="7">
        <v>4842605.0</v>
      </c>
      <c r="F165" s="7">
        <v>3507887.0</v>
      </c>
      <c r="G165" s="7">
        <v>4120297.0</v>
      </c>
      <c r="H165" s="14">
        <v>8269739.0</v>
      </c>
      <c r="I165" s="23"/>
      <c r="J165" s="23">
        <v>212333.0</v>
      </c>
      <c r="K165" s="7">
        <v>7430652.0</v>
      </c>
      <c r="L165" s="7">
        <v>323414.0</v>
      </c>
      <c r="M165" s="7">
        <v>1.3754887E7</v>
      </c>
      <c r="N165" s="7"/>
      <c r="O165" s="10">
        <f t="shared" si="13"/>
        <v>45517295</v>
      </c>
      <c r="P165" s="12">
        <f t="shared" si="14"/>
        <v>1</v>
      </c>
    </row>
    <row r="166">
      <c r="A166" s="4" t="s">
        <v>37</v>
      </c>
      <c r="B166" s="23">
        <v>232541.0</v>
      </c>
      <c r="C166" s="7">
        <v>891588.0</v>
      </c>
      <c r="D166" s="7">
        <v>1843466.0</v>
      </c>
      <c r="E166" s="7">
        <v>4530021.0</v>
      </c>
      <c r="F166" s="7">
        <v>3507887.0</v>
      </c>
      <c r="G166" s="7">
        <v>3759056.0</v>
      </c>
      <c r="H166" s="14">
        <v>8126115.0</v>
      </c>
      <c r="I166" s="23"/>
      <c r="J166" s="23">
        <v>212333.0</v>
      </c>
      <c r="K166" s="7">
        <v>6624669.0</v>
      </c>
      <c r="L166" s="7">
        <v>323414.0</v>
      </c>
      <c r="M166" s="7">
        <v>1.3750918E7</v>
      </c>
      <c r="N166" s="7"/>
      <c r="O166" s="10">
        <f t="shared" si="13"/>
        <v>43802008</v>
      </c>
      <c r="P166" s="12">
        <f t="shared" si="14"/>
        <v>0.9623157088</v>
      </c>
    </row>
    <row r="169">
      <c r="B169" s="1">
        <v>45877.0</v>
      </c>
      <c r="C169" s="1">
        <v>45883.0</v>
      </c>
      <c r="D169" s="1">
        <v>45884.0</v>
      </c>
      <c r="E169" s="1">
        <v>45889.0</v>
      </c>
      <c r="F169" s="1">
        <v>45896.0</v>
      </c>
      <c r="G169" s="1">
        <v>45897.0</v>
      </c>
      <c r="I169" s="1"/>
      <c r="J169" s="1">
        <v>45874.0</v>
      </c>
      <c r="K169" s="1">
        <v>45883.0</v>
      </c>
      <c r="L169" s="1">
        <v>45895.0</v>
      </c>
      <c r="M169" s="1">
        <v>45898.0</v>
      </c>
      <c r="O169" s="4" t="s">
        <v>4</v>
      </c>
    </row>
    <row r="170">
      <c r="A170" s="5" t="s">
        <v>5</v>
      </c>
      <c r="B170" s="7">
        <v>1991974.0</v>
      </c>
      <c r="C170" s="8">
        <v>6417897.0</v>
      </c>
      <c r="D170" s="7">
        <v>4.0442783E7</v>
      </c>
      <c r="E170" s="7">
        <v>1.1520123E7</v>
      </c>
      <c r="F170" s="7">
        <v>520939.0</v>
      </c>
      <c r="G170" s="7">
        <v>2220939.0</v>
      </c>
      <c r="I170" s="7"/>
      <c r="J170" s="7">
        <v>205604.0</v>
      </c>
      <c r="K170" s="7">
        <v>7557712.0</v>
      </c>
      <c r="L170" s="7">
        <v>639250.0</v>
      </c>
      <c r="M170" s="7">
        <v>1.3208757E7</v>
      </c>
      <c r="O170" s="10">
        <f t="shared" ref="O170:O190" si="15">SUM(B170:N170)</f>
        <v>84725978</v>
      </c>
      <c r="P170" s="12">
        <f t="shared" ref="P170:P190" si="16">O170/$O$170</f>
        <v>1</v>
      </c>
    </row>
    <row r="171">
      <c r="A171" s="5" t="s">
        <v>18</v>
      </c>
      <c r="B171" s="7">
        <v>1991974.0</v>
      </c>
      <c r="C171" s="14">
        <v>6417897.0</v>
      </c>
      <c r="D171" s="7">
        <v>4.0442783E7</v>
      </c>
      <c r="E171" s="7">
        <v>1.1520123E7</v>
      </c>
      <c r="F171" s="7">
        <v>520939.0</v>
      </c>
      <c r="G171" s="7">
        <v>2220939.0</v>
      </c>
      <c r="I171" s="7"/>
      <c r="J171" s="7">
        <v>205604.0</v>
      </c>
      <c r="K171" s="7">
        <v>7557712.0</v>
      </c>
      <c r="L171" s="7">
        <v>639250.0</v>
      </c>
      <c r="M171" s="7">
        <v>1.3208757E7</v>
      </c>
      <c r="O171" s="10">
        <f t="shared" si="15"/>
        <v>84725978</v>
      </c>
      <c r="P171" s="12">
        <f t="shared" si="16"/>
        <v>1</v>
      </c>
    </row>
    <row r="172">
      <c r="A172" s="4" t="s">
        <v>19</v>
      </c>
      <c r="B172" s="7">
        <v>1991974.0</v>
      </c>
      <c r="C172" s="14">
        <v>6417897.0</v>
      </c>
      <c r="D172" s="7">
        <v>2.7736396E7</v>
      </c>
      <c r="E172" s="7">
        <v>1.1520123E7</v>
      </c>
      <c r="F172" s="7">
        <v>520939.0</v>
      </c>
      <c r="G172" s="7">
        <v>2220939.0</v>
      </c>
      <c r="I172" s="7"/>
      <c r="J172" s="7">
        <v>205604.0</v>
      </c>
      <c r="K172" s="7">
        <v>7557712.0</v>
      </c>
      <c r="L172" s="7">
        <v>639250.0</v>
      </c>
      <c r="M172" s="7">
        <v>1.3208757E7</v>
      </c>
      <c r="O172" s="10">
        <f t="shared" si="15"/>
        <v>72019591</v>
      </c>
      <c r="P172" s="12">
        <f t="shared" si="16"/>
        <v>0.8500296214</v>
      </c>
    </row>
    <row r="173">
      <c r="A173" s="5" t="s">
        <v>20</v>
      </c>
      <c r="B173" s="7">
        <v>1991974.0</v>
      </c>
      <c r="C173" s="14">
        <v>6417897.0</v>
      </c>
      <c r="D173" s="7">
        <v>4.0442783E7</v>
      </c>
      <c r="E173" s="7">
        <v>1.1520123E7</v>
      </c>
      <c r="F173" s="7">
        <v>520939.0</v>
      </c>
      <c r="G173" s="7">
        <v>2220939.0</v>
      </c>
      <c r="I173" s="7"/>
      <c r="J173" s="7">
        <v>205604.0</v>
      </c>
      <c r="K173" s="7">
        <v>7557712.0</v>
      </c>
      <c r="L173" s="7">
        <v>639250.0</v>
      </c>
      <c r="M173" s="7">
        <v>1.3208757E7</v>
      </c>
      <c r="O173" s="10">
        <f t="shared" si="15"/>
        <v>84725978</v>
      </c>
      <c r="P173" s="12">
        <f t="shared" si="16"/>
        <v>1</v>
      </c>
    </row>
    <row r="174">
      <c r="A174" s="5" t="s">
        <v>21</v>
      </c>
      <c r="B174" s="7">
        <v>1991974.0</v>
      </c>
      <c r="C174" s="14">
        <v>6417897.0</v>
      </c>
      <c r="D174" s="7">
        <v>4.0442783E7</v>
      </c>
      <c r="E174" s="7">
        <v>1.1520123E7</v>
      </c>
      <c r="F174" s="7">
        <v>520939.0</v>
      </c>
      <c r="G174" s="7">
        <v>2220939.0</v>
      </c>
      <c r="I174" s="7"/>
      <c r="J174" s="7">
        <v>205604.0</v>
      </c>
      <c r="K174" s="7">
        <v>7557712.0</v>
      </c>
      <c r="L174" s="7">
        <v>639250.0</v>
      </c>
      <c r="M174" s="7">
        <v>1.3208757E7</v>
      </c>
      <c r="O174" s="10">
        <f t="shared" si="15"/>
        <v>84725978</v>
      </c>
      <c r="P174" s="12">
        <f t="shared" si="16"/>
        <v>1</v>
      </c>
    </row>
    <row r="175">
      <c r="A175" s="5" t="s">
        <v>22</v>
      </c>
      <c r="B175" s="7">
        <v>1422838.0</v>
      </c>
      <c r="C175" s="14">
        <v>4584212.0</v>
      </c>
      <c r="D175" s="7">
        <v>2.8887702E7</v>
      </c>
      <c r="E175" s="7">
        <v>8228659.0</v>
      </c>
      <c r="F175" s="7">
        <v>372099.0</v>
      </c>
      <c r="G175" s="7">
        <v>1586385.0</v>
      </c>
      <c r="I175" s="7"/>
      <c r="J175" s="7">
        <v>146860.0</v>
      </c>
      <c r="K175" s="7">
        <v>5398366.0</v>
      </c>
      <c r="L175" s="7">
        <v>456607.0</v>
      </c>
      <c r="M175" s="7">
        <v>9434826.0</v>
      </c>
      <c r="O175" s="10">
        <f t="shared" si="15"/>
        <v>60518554</v>
      </c>
      <c r="P175" s="12">
        <f t="shared" si="16"/>
        <v>0.7142856941</v>
      </c>
    </row>
    <row r="176">
      <c r="A176" s="5" t="s">
        <v>23</v>
      </c>
      <c r="B176" s="7">
        <v>1991974.0</v>
      </c>
      <c r="C176" s="14">
        <v>6417897.0</v>
      </c>
      <c r="D176" s="7">
        <v>4.0442783E7</v>
      </c>
      <c r="E176" s="7">
        <v>1.1520123E7</v>
      </c>
      <c r="F176" s="7">
        <v>520939.0</v>
      </c>
      <c r="G176" s="7">
        <v>2220939.0</v>
      </c>
      <c r="I176" s="7"/>
      <c r="J176" s="7">
        <v>205604.0</v>
      </c>
      <c r="K176" s="7">
        <v>7557712.0</v>
      </c>
      <c r="L176" s="7">
        <v>639250.0</v>
      </c>
      <c r="M176" s="7">
        <v>1.3208757E7</v>
      </c>
      <c r="O176" s="10">
        <f t="shared" si="15"/>
        <v>84725978</v>
      </c>
      <c r="P176" s="12">
        <f t="shared" si="16"/>
        <v>1</v>
      </c>
    </row>
    <row r="177">
      <c r="A177" s="5" t="s">
        <v>24</v>
      </c>
      <c r="B177" s="7">
        <v>1422838.0</v>
      </c>
      <c r="C177" s="14">
        <v>4584212.0</v>
      </c>
      <c r="D177" s="7">
        <v>2.8887702E7</v>
      </c>
      <c r="E177" s="7">
        <v>8228659.0</v>
      </c>
      <c r="F177" s="7">
        <v>372099.0</v>
      </c>
      <c r="G177" s="7">
        <v>1586385.0</v>
      </c>
      <c r="I177" s="7"/>
      <c r="J177" s="7">
        <v>146860.0</v>
      </c>
      <c r="K177" s="7">
        <v>5398366.0</v>
      </c>
      <c r="L177" s="7">
        <v>456607.0</v>
      </c>
      <c r="M177" s="7">
        <v>9434826.0</v>
      </c>
      <c r="O177" s="10">
        <f t="shared" si="15"/>
        <v>60518554</v>
      </c>
      <c r="P177" s="12">
        <f t="shared" si="16"/>
        <v>0.7142856941</v>
      </c>
    </row>
    <row r="178">
      <c r="A178" s="5" t="s">
        <v>25</v>
      </c>
      <c r="B178" s="7">
        <v>1991974.0</v>
      </c>
      <c r="C178" s="14">
        <v>6417897.0</v>
      </c>
      <c r="D178" s="7">
        <v>4.0442783E7</v>
      </c>
      <c r="E178" s="7">
        <v>1.1520123E7</v>
      </c>
      <c r="F178" s="7">
        <v>520939.0</v>
      </c>
      <c r="G178" s="7">
        <v>2220939.0</v>
      </c>
      <c r="I178" s="7"/>
      <c r="J178" s="7">
        <v>205604.0</v>
      </c>
      <c r="K178" s="7">
        <v>7557712.0</v>
      </c>
      <c r="L178" s="7">
        <v>639250.0</v>
      </c>
      <c r="M178" s="7">
        <v>1.3208757E7</v>
      </c>
      <c r="O178" s="10">
        <f t="shared" si="15"/>
        <v>84725978</v>
      </c>
      <c r="P178" s="12">
        <f t="shared" si="16"/>
        <v>1</v>
      </c>
    </row>
    <row r="179">
      <c r="A179" s="5" t="s">
        <v>26</v>
      </c>
      <c r="B179" s="7">
        <v>1991974.0</v>
      </c>
      <c r="C179" s="14">
        <v>6417897.0</v>
      </c>
      <c r="D179" s="7">
        <v>4.0442783E7</v>
      </c>
      <c r="E179" s="7">
        <v>1.1520123E7</v>
      </c>
      <c r="F179" s="7">
        <v>520939.0</v>
      </c>
      <c r="G179" s="7">
        <v>2220939.0</v>
      </c>
      <c r="I179" s="7"/>
      <c r="J179" s="7">
        <v>205604.0</v>
      </c>
      <c r="K179" s="7">
        <v>7557712.0</v>
      </c>
      <c r="L179" s="7">
        <v>639250.0</v>
      </c>
      <c r="M179" s="7">
        <v>1.3208757E7</v>
      </c>
      <c r="O179" s="10">
        <f t="shared" si="15"/>
        <v>84725978</v>
      </c>
      <c r="P179" s="12">
        <f t="shared" si="16"/>
        <v>1</v>
      </c>
    </row>
    <row r="180">
      <c r="A180" s="5" t="s">
        <v>27</v>
      </c>
      <c r="B180" s="7">
        <v>1991974.0</v>
      </c>
      <c r="C180" s="14">
        <v>6417897.0</v>
      </c>
      <c r="D180" s="7">
        <v>4.0442783E7</v>
      </c>
      <c r="E180" s="7">
        <v>1.1520123E7</v>
      </c>
      <c r="F180" s="7">
        <v>520939.0</v>
      </c>
      <c r="G180" s="7">
        <v>2220939.0</v>
      </c>
      <c r="I180" s="7"/>
      <c r="J180" s="7">
        <v>205604.0</v>
      </c>
      <c r="K180" s="7">
        <v>7557712.0</v>
      </c>
      <c r="L180" s="7">
        <v>639250.0</v>
      </c>
      <c r="M180" s="7">
        <v>1.3208757E7</v>
      </c>
      <c r="O180" s="10">
        <f t="shared" si="15"/>
        <v>84725978</v>
      </c>
      <c r="P180" s="12">
        <f t="shared" si="16"/>
        <v>1</v>
      </c>
    </row>
    <row r="181">
      <c r="A181" s="5" t="s">
        <v>28</v>
      </c>
      <c r="B181" s="7">
        <v>1625715.0</v>
      </c>
      <c r="C181" s="14">
        <v>5443913.0</v>
      </c>
      <c r="D181" s="7">
        <v>3.6398505E7</v>
      </c>
      <c r="E181" s="7">
        <v>9228329.0</v>
      </c>
      <c r="F181" s="7">
        <v>416751.0</v>
      </c>
      <c r="G181" s="7">
        <v>1971522.0</v>
      </c>
      <c r="I181" s="7"/>
      <c r="J181" s="7">
        <v>164483.0</v>
      </c>
      <c r="K181" s="7">
        <v>6525025.0</v>
      </c>
      <c r="L181" s="7">
        <v>511400.0</v>
      </c>
      <c r="M181" s="7">
        <v>1.0569827E7</v>
      </c>
      <c r="O181" s="10">
        <f t="shared" si="15"/>
        <v>72855470</v>
      </c>
      <c r="P181" s="12">
        <f t="shared" si="16"/>
        <v>0.8598952968</v>
      </c>
    </row>
    <row r="182">
      <c r="A182" s="5" t="s">
        <v>29</v>
      </c>
      <c r="B182" s="7">
        <v>1991974.0</v>
      </c>
      <c r="C182" s="14">
        <v>6417897.0</v>
      </c>
      <c r="D182" s="7">
        <v>4.0442783E7</v>
      </c>
      <c r="E182" s="7">
        <v>1.1520123E7</v>
      </c>
      <c r="F182" s="7">
        <v>520939.0</v>
      </c>
      <c r="G182" s="7">
        <v>2220939.0</v>
      </c>
      <c r="I182" s="7"/>
      <c r="J182" s="7">
        <v>205604.0</v>
      </c>
      <c r="K182" s="7">
        <v>7557712.0</v>
      </c>
      <c r="L182" s="7">
        <v>639250.0</v>
      </c>
      <c r="M182" s="7">
        <v>1.3208757E7</v>
      </c>
      <c r="O182" s="10">
        <f t="shared" si="15"/>
        <v>84725978</v>
      </c>
      <c r="P182" s="12">
        <f t="shared" si="16"/>
        <v>1</v>
      </c>
    </row>
    <row r="183">
      <c r="A183" s="5" t="s">
        <v>30</v>
      </c>
      <c r="B183" s="7">
        <v>1991974.0</v>
      </c>
      <c r="C183" s="14">
        <v>6417897.0</v>
      </c>
      <c r="D183" s="7">
        <v>4.0442783E7</v>
      </c>
      <c r="E183" s="7">
        <v>1.1520123E7</v>
      </c>
      <c r="F183" s="7">
        <v>520939.0</v>
      </c>
      <c r="G183" s="7">
        <v>2220939.0</v>
      </c>
      <c r="I183" s="7"/>
      <c r="J183" s="7">
        <v>205604.0</v>
      </c>
      <c r="K183" s="7">
        <v>7557712.0</v>
      </c>
      <c r="L183" s="7">
        <v>639250.0</v>
      </c>
      <c r="M183" s="7">
        <v>1.3208757E7</v>
      </c>
      <c r="O183" s="10">
        <f t="shared" si="15"/>
        <v>84725978</v>
      </c>
      <c r="P183" s="12">
        <f t="shared" si="16"/>
        <v>1</v>
      </c>
    </row>
    <row r="184">
      <c r="A184" s="5" t="s">
        <v>31</v>
      </c>
      <c r="B184" s="7">
        <v>1792776.0</v>
      </c>
      <c r="C184" s="14">
        <v>5776107.0</v>
      </c>
      <c r="D184" s="7">
        <v>3.6398505E7</v>
      </c>
      <c r="E184" s="7">
        <v>1.0368111E7</v>
      </c>
      <c r="F184" s="7">
        <v>468845.0</v>
      </c>
      <c r="G184" s="7">
        <v>1998845.0</v>
      </c>
      <c r="I184" s="7"/>
      <c r="J184" s="7">
        <v>185044.0</v>
      </c>
      <c r="K184" s="7">
        <v>6801941.0</v>
      </c>
      <c r="L184" s="7">
        <v>575325.0</v>
      </c>
      <c r="M184" s="7">
        <v>1.1887881E7</v>
      </c>
      <c r="O184" s="10">
        <f t="shared" si="15"/>
        <v>76253380</v>
      </c>
      <c r="P184" s="12">
        <f t="shared" si="16"/>
        <v>0.8999999976</v>
      </c>
    </row>
    <row r="185">
      <c r="A185" s="5" t="s">
        <v>32</v>
      </c>
      <c r="B185" s="7">
        <v>1991974.0</v>
      </c>
      <c r="C185" s="14">
        <v>6417897.0</v>
      </c>
      <c r="D185" s="7">
        <v>4.0442783E7</v>
      </c>
      <c r="E185" s="7">
        <v>1.1520123E7</v>
      </c>
      <c r="F185" s="7">
        <v>520939.0</v>
      </c>
      <c r="G185" s="7">
        <v>2220939.0</v>
      </c>
      <c r="I185" s="7"/>
      <c r="J185" s="7">
        <v>205604.0</v>
      </c>
      <c r="K185" s="7">
        <v>7557712.0</v>
      </c>
      <c r="L185" s="7">
        <v>639250.0</v>
      </c>
      <c r="M185" s="7">
        <v>1.3208757E7</v>
      </c>
      <c r="O185" s="10">
        <f t="shared" si="15"/>
        <v>84725978</v>
      </c>
      <c r="P185" s="12">
        <f t="shared" si="16"/>
        <v>1</v>
      </c>
    </row>
    <row r="186">
      <c r="A186" s="4" t="s">
        <v>33</v>
      </c>
      <c r="B186" s="7">
        <v>1953090.0</v>
      </c>
      <c r="C186" s="14">
        <v>6390679.0</v>
      </c>
      <c r="D186" s="7">
        <v>1.62311E7</v>
      </c>
      <c r="E186" s="7">
        <v>1.1520123E7</v>
      </c>
      <c r="F186" s="7">
        <v>520939.0</v>
      </c>
      <c r="G186" s="7">
        <v>2095235.0</v>
      </c>
      <c r="I186" s="7"/>
      <c r="J186" s="7">
        <v>205604.0</v>
      </c>
      <c r="K186" s="7">
        <v>7526983.0</v>
      </c>
      <c r="L186" s="7">
        <v>639250.0</v>
      </c>
      <c r="M186" s="7">
        <v>1.3180548E7</v>
      </c>
      <c r="O186" s="10">
        <f t="shared" si="15"/>
        <v>60263551</v>
      </c>
      <c r="P186" s="12">
        <f t="shared" si="16"/>
        <v>0.711275956</v>
      </c>
    </row>
    <row r="187">
      <c r="A187" s="5" t="s">
        <v>34</v>
      </c>
      <c r="B187" s="7">
        <v>1991974.0</v>
      </c>
      <c r="C187" s="14">
        <v>6417897.0</v>
      </c>
      <c r="D187" s="7">
        <v>4.0442783E7</v>
      </c>
      <c r="E187" s="7">
        <v>1.1520123E7</v>
      </c>
      <c r="F187" s="7">
        <v>520939.0</v>
      </c>
      <c r="G187" s="7">
        <v>2220939.0</v>
      </c>
      <c r="I187" s="7"/>
      <c r="J187" s="7">
        <v>205604.0</v>
      </c>
      <c r="K187" s="7">
        <v>7557712.0</v>
      </c>
      <c r="L187" s="7">
        <v>639250.0</v>
      </c>
      <c r="M187" s="7">
        <v>1.3208757E7</v>
      </c>
      <c r="O187" s="10">
        <f t="shared" si="15"/>
        <v>84725978</v>
      </c>
      <c r="P187" s="12">
        <f t="shared" si="16"/>
        <v>1</v>
      </c>
    </row>
    <row r="188">
      <c r="A188" s="5" t="s">
        <v>35</v>
      </c>
      <c r="B188" s="7">
        <v>1596817.0</v>
      </c>
      <c r="C188" s="14">
        <v>5134318.0</v>
      </c>
      <c r="D188" s="7">
        <v>3.5824041E7</v>
      </c>
      <c r="E188" s="7">
        <v>9216098.0</v>
      </c>
      <c r="F188" s="7">
        <v>416751.0</v>
      </c>
      <c r="G188" s="7">
        <v>1776751.0</v>
      </c>
      <c r="I188" s="7"/>
      <c r="J188" s="7">
        <v>164483.0</v>
      </c>
      <c r="K188" s="7">
        <v>6046170.0</v>
      </c>
      <c r="L188" s="7">
        <v>511400.0</v>
      </c>
      <c r="M188" s="7">
        <v>1.0572648E7</v>
      </c>
      <c r="O188" s="10">
        <f t="shared" si="15"/>
        <v>71259477</v>
      </c>
      <c r="P188" s="12">
        <f t="shared" si="16"/>
        <v>0.8410581817</v>
      </c>
    </row>
    <row r="189">
      <c r="A189" s="5" t="s">
        <v>36</v>
      </c>
      <c r="B189" s="7">
        <v>1991974.0</v>
      </c>
      <c r="C189" s="14">
        <v>6417897.0</v>
      </c>
      <c r="D189" s="7">
        <v>4.0442783E7</v>
      </c>
      <c r="E189" s="7">
        <v>1.1520123E7</v>
      </c>
      <c r="F189" s="7">
        <v>520939.0</v>
      </c>
      <c r="G189" s="7">
        <v>2220939.0</v>
      </c>
      <c r="I189" s="7"/>
      <c r="J189" s="7">
        <v>205604.0</v>
      </c>
      <c r="K189" s="7">
        <v>7557712.0</v>
      </c>
      <c r="L189" s="7">
        <v>639250.0</v>
      </c>
      <c r="M189" s="7">
        <v>1.3208757E7</v>
      </c>
      <c r="O189" s="10">
        <f t="shared" si="15"/>
        <v>84725978</v>
      </c>
      <c r="P189" s="12">
        <f t="shared" si="16"/>
        <v>1</v>
      </c>
    </row>
    <row r="190">
      <c r="A190" s="4" t="s">
        <v>37</v>
      </c>
      <c r="B190" s="7">
        <v>1952931.0</v>
      </c>
      <c r="C190" s="14">
        <v>6390679.0</v>
      </c>
      <c r="D190" s="7">
        <v>1.6028804E7</v>
      </c>
      <c r="E190" s="7">
        <v>1.1520123E7</v>
      </c>
      <c r="F190" s="7">
        <v>520939.0</v>
      </c>
      <c r="G190" s="7">
        <v>2095235.0</v>
      </c>
      <c r="I190" s="7"/>
      <c r="J190" s="7">
        <v>205604.0</v>
      </c>
      <c r="K190" s="7">
        <v>7526983.0</v>
      </c>
      <c r="L190" s="7">
        <v>639250.0</v>
      </c>
      <c r="M190" s="7">
        <v>1.3180548E7</v>
      </c>
      <c r="O190" s="10">
        <f t="shared" si="15"/>
        <v>60061096</v>
      </c>
      <c r="P190" s="12">
        <f t="shared" si="16"/>
        <v>0.7088864291</v>
      </c>
    </row>
    <row r="191">
      <c r="D191" s="10">
        <f>SUM(D170:D190)</f>
        <v>752148934</v>
      </c>
    </row>
    <row r="193">
      <c r="B193" s="1">
        <v>45904.0</v>
      </c>
      <c r="C193" s="1">
        <v>45911.0</v>
      </c>
      <c r="D193" s="1">
        <v>45918.0</v>
      </c>
      <c r="E193" s="1">
        <v>45925.0</v>
      </c>
      <c r="F193" s="1">
        <v>45896.0</v>
      </c>
      <c r="G193" s="1">
        <v>45897.0</v>
      </c>
      <c r="I193" s="1"/>
      <c r="J193" s="1">
        <v>45905.0</v>
      </c>
      <c r="K193" s="1">
        <v>45915.0</v>
      </c>
      <c r="L193" s="1">
        <v>45926.0</v>
      </c>
      <c r="M193" s="1">
        <v>45930.0</v>
      </c>
      <c r="O193" s="4" t="s">
        <v>4</v>
      </c>
    </row>
    <row r="194">
      <c r="A194" s="5" t="s">
        <v>5</v>
      </c>
      <c r="B194" s="7">
        <v>4201104.0</v>
      </c>
      <c r="C194" s="8">
        <v>4373874.0</v>
      </c>
      <c r="D194" s="7">
        <v>1519003.0</v>
      </c>
      <c r="E194" s="7">
        <v>1.0767616E7</v>
      </c>
      <c r="F194" s="7"/>
      <c r="G194" s="7"/>
      <c r="I194" s="7"/>
      <c r="J194" s="7">
        <v>205604.0</v>
      </c>
      <c r="K194" s="7">
        <v>5072380.0</v>
      </c>
      <c r="L194" s="8">
        <v>501671.0</v>
      </c>
      <c r="M194" s="7">
        <v>1.3441745E7</v>
      </c>
      <c r="O194" s="10">
        <f t="shared" ref="O194:O214" si="17">SUM(B194:N194)</f>
        <v>40082997</v>
      </c>
      <c r="P194" s="12">
        <f t="shared" ref="P194:P214" si="18">O194/$O$194</f>
        <v>1</v>
      </c>
    </row>
    <row r="195">
      <c r="A195" s="5" t="s">
        <v>18</v>
      </c>
      <c r="B195" s="7">
        <v>4201104.0</v>
      </c>
      <c r="C195" s="14">
        <v>4373874.0</v>
      </c>
      <c r="D195" s="7">
        <v>1519003.0</v>
      </c>
      <c r="E195" s="7">
        <v>1.0767616E7</v>
      </c>
      <c r="F195" s="7"/>
      <c r="G195" s="7"/>
      <c r="I195" s="7"/>
      <c r="J195" s="7">
        <v>205604.0</v>
      </c>
      <c r="K195" s="7">
        <v>5072380.0</v>
      </c>
      <c r="L195" s="14">
        <v>501671.0</v>
      </c>
      <c r="M195" s="7">
        <v>1.3441745E7</v>
      </c>
      <c r="O195" s="10">
        <f t="shared" si="17"/>
        <v>40082997</v>
      </c>
      <c r="P195" s="12">
        <f t="shared" si="18"/>
        <v>1</v>
      </c>
    </row>
    <row r="196">
      <c r="A196" s="4" t="s">
        <v>19</v>
      </c>
      <c r="B196" s="7">
        <v>4201104.0</v>
      </c>
      <c r="C196" s="14">
        <v>4373874.0</v>
      </c>
      <c r="D196" s="7">
        <v>1519003.0</v>
      </c>
      <c r="E196" s="7">
        <v>1.0767616E7</v>
      </c>
      <c r="F196" s="7"/>
      <c r="G196" s="7"/>
      <c r="I196" s="7"/>
      <c r="J196" s="7">
        <v>205604.0</v>
      </c>
      <c r="K196" s="7">
        <v>5072380.0</v>
      </c>
      <c r="L196" s="14">
        <v>501671.0</v>
      </c>
      <c r="M196" s="7">
        <v>1.3407474E7</v>
      </c>
      <c r="O196" s="10">
        <f t="shared" si="17"/>
        <v>40048726</v>
      </c>
      <c r="P196" s="12">
        <f t="shared" si="18"/>
        <v>0.9991449991</v>
      </c>
    </row>
    <row r="197">
      <c r="A197" s="5" t="s">
        <v>20</v>
      </c>
      <c r="B197" s="7">
        <v>4201104.0</v>
      </c>
      <c r="C197" s="14">
        <v>4373874.0</v>
      </c>
      <c r="D197" s="7">
        <v>1519003.0</v>
      </c>
      <c r="E197" s="7">
        <v>1.0767616E7</v>
      </c>
      <c r="F197" s="7"/>
      <c r="G197" s="7"/>
      <c r="I197" s="7"/>
      <c r="J197" s="7">
        <v>205604.0</v>
      </c>
      <c r="K197" s="7">
        <v>5072380.0</v>
      </c>
      <c r="L197" s="14">
        <v>501671.0</v>
      </c>
      <c r="M197" s="7">
        <v>1.3441745E7</v>
      </c>
      <c r="O197" s="10">
        <f t="shared" si="17"/>
        <v>40082997</v>
      </c>
      <c r="P197" s="12">
        <f t="shared" si="18"/>
        <v>1</v>
      </c>
    </row>
    <row r="198">
      <c r="A198" s="5" t="s">
        <v>21</v>
      </c>
      <c r="B198" s="7">
        <v>4201104.0</v>
      </c>
      <c r="C198" s="14">
        <v>4373874.0</v>
      </c>
      <c r="D198" s="7">
        <v>1519003.0</v>
      </c>
      <c r="E198" s="7">
        <v>1.0767616E7</v>
      </c>
      <c r="F198" s="7"/>
      <c r="G198" s="7"/>
      <c r="I198" s="7"/>
      <c r="J198" s="7">
        <v>205604.0</v>
      </c>
      <c r="K198" s="7">
        <v>5072380.0</v>
      </c>
      <c r="L198" s="14">
        <v>501671.0</v>
      </c>
      <c r="M198" s="7">
        <v>1.3441745E7</v>
      </c>
      <c r="O198" s="10">
        <f t="shared" si="17"/>
        <v>40082997</v>
      </c>
      <c r="P198" s="12">
        <f t="shared" si="18"/>
        <v>1</v>
      </c>
    </row>
    <row r="199">
      <c r="A199" s="5" t="s">
        <v>22</v>
      </c>
      <c r="B199" s="7">
        <v>3000788.0</v>
      </c>
      <c r="C199" s="14">
        <v>3124196.0</v>
      </c>
      <c r="D199" s="7">
        <v>1085002.0</v>
      </c>
      <c r="E199" s="7">
        <v>7691154.0</v>
      </c>
      <c r="F199" s="7"/>
      <c r="G199" s="7"/>
      <c r="I199" s="7"/>
      <c r="J199" s="7">
        <v>146860.0</v>
      </c>
      <c r="K199" s="7">
        <v>3623129.0</v>
      </c>
      <c r="L199" s="14">
        <v>358337.0</v>
      </c>
      <c r="M199" s="7">
        <v>9601246.0</v>
      </c>
      <c r="O199" s="10">
        <f t="shared" si="17"/>
        <v>28630712</v>
      </c>
      <c r="P199" s="12">
        <f t="shared" si="18"/>
        <v>0.7142857107</v>
      </c>
    </row>
    <row r="200">
      <c r="A200" s="5" t="s">
        <v>23</v>
      </c>
      <c r="B200" s="7">
        <v>4201104.0</v>
      </c>
      <c r="C200" s="14">
        <v>4373874.0</v>
      </c>
      <c r="D200" s="7">
        <v>1519003.0</v>
      </c>
      <c r="E200" s="7">
        <v>1.0767616E7</v>
      </c>
      <c r="F200" s="7"/>
      <c r="G200" s="7"/>
      <c r="I200" s="7"/>
      <c r="J200" s="7">
        <v>205604.0</v>
      </c>
      <c r="K200" s="7">
        <v>5072380.0</v>
      </c>
      <c r="L200" s="14">
        <v>501671.0</v>
      </c>
      <c r="M200" s="7">
        <v>1.3441745E7</v>
      </c>
      <c r="O200" s="10">
        <f t="shared" si="17"/>
        <v>40082997</v>
      </c>
      <c r="P200" s="12">
        <f t="shared" si="18"/>
        <v>1</v>
      </c>
    </row>
    <row r="201">
      <c r="A201" s="5" t="s">
        <v>24</v>
      </c>
      <c r="B201" s="7">
        <v>3000788.0</v>
      </c>
      <c r="C201" s="14">
        <v>3124196.0</v>
      </c>
      <c r="D201" s="7">
        <v>1085002.0</v>
      </c>
      <c r="E201" s="7">
        <v>7691154.0</v>
      </c>
      <c r="F201" s="7"/>
      <c r="G201" s="7"/>
      <c r="I201" s="7"/>
      <c r="J201" s="7">
        <v>146860.0</v>
      </c>
      <c r="K201" s="7">
        <v>3623129.0</v>
      </c>
      <c r="L201" s="14">
        <v>358337.0</v>
      </c>
      <c r="M201" s="7">
        <v>9601246.0</v>
      </c>
      <c r="O201" s="10">
        <f t="shared" si="17"/>
        <v>28630712</v>
      </c>
      <c r="P201" s="12">
        <f t="shared" si="18"/>
        <v>0.7142857107</v>
      </c>
    </row>
    <row r="202">
      <c r="A202" s="5" t="s">
        <v>25</v>
      </c>
      <c r="B202" s="7">
        <v>4201104.0</v>
      </c>
      <c r="C202" s="14">
        <v>4373874.0</v>
      </c>
      <c r="D202" s="7">
        <v>1519003.0</v>
      </c>
      <c r="E202" s="7">
        <v>1.0767616E7</v>
      </c>
      <c r="F202" s="7"/>
      <c r="G202" s="7"/>
      <c r="I202" s="7"/>
      <c r="J202" s="7">
        <v>205604.0</v>
      </c>
      <c r="K202" s="7">
        <v>5072380.0</v>
      </c>
      <c r="L202" s="14">
        <v>501671.0</v>
      </c>
      <c r="M202" s="7">
        <v>1.3441745E7</v>
      </c>
      <c r="O202" s="10">
        <f t="shared" si="17"/>
        <v>40082997</v>
      </c>
      <c r="P202" s="12">
        <f t="shared" si="18"/>
        <v>1</v>
      </c>
    </row>
    <row r="203">
      <c r="A203" s="5" t="s">
        <v>26</v>
      </c>
      <c r="B203" s="7">
        <v>4201104.0</v>
      </c>
      <c r="C203" s="14">
        <v>4373874.0</v>
      </c>
      <c r="D203" s="7">
        <v>1519003.0</v>
      </c>
      <c r="E203" s="7">
        <v>1.0767616E7</v>
      </c>
      <c r="F203" s="7"/>
      <c r="G203" s="7"/>
      <c r="I203" s="7"/>
      <c r="J203" s="7">
        <v>205604.0</v>
      </c>
      <c r="K203" s="7">
        <v>5072380.0</v>
      </c>
      <c r="L203" s="14">
        <v>501671.0</v>
      </c>
      <c r="M203" s="7">
        <v>1.3441745E7</v>
      </c>
      <c r="O203" s="10">
        <f t="shared" si="17"/>
        <v>40082997</v>
      </c>
      <c r="P203" s="12">
        <f t="shared" si="18"/>
        <v>1</v>
      </c>
    </row>
    <row r="204">
      <c r="A204" s="5" t="s">
        <v>27</v>
      </c>
      <c r="B204" s="7">
        <v>4201104.0</v>
      </c>
      <c r="C204" s="14">
        <v>4373874.0</v>
      </c>
      <c r="D204" s="7">
        <v>1519003.0</v>
      </c>
      <c r="E204" s="7">
        <v>1.0767616E7</v>
      </c>
      <c r="F204" s="7"/>
      <c r="G204" s="7"/>
      <c r="I204" s="7"/>
      <c r="J204" s="7">
        <v>205604.0</v>
      </c>
      <c r="K204" s="7">
        <v>5072380.0</v>
      </c>
      <c r="L204" s="14">
        <v>501671.0</v>
      </c>
      <c r="M204" s="7">
        <v>1.3441745E7</v>
      </c>
      <c r="O204" s="10">
        <f t="shared" si="17"/>
        <v>40082997</v>
      </c>
      <c r="P204" s="12">
        <f t="shared" si="18"/>
        <v>1</v>
      </c>
    </row>
    <row r="205">
      <c r="A205" s="5" t="s">
        <v>28</v>
      </c>
      <c r="B205" s="7">
        <v>3462398.0</v>
      </c>
      <c r="C205" s="14">
        <v>3505638.0</v>
      </c>
      <c r="D205" s="7">
        <v>1215202.0</v>
      </c>
      <c r="E205" s="7">
        <v>8621382.0</v>
      </c>
      <c r="F205" s="7"/>
      <c r="G205" s="7"/>
      <c r="I205" s="7"/>
      <c r="J205" s="7">
        <v>164483.0</v>
      </c>
      <c r="K205" s="7">
        <v>4071458.0</v>
      </c>
      <c r="L205" s="14">
        <v>401337.0</v>
      </c>
      <c r="M205" s="7">
        <v>1.0811331E7</v>
      </c>
      <c r="O205" s="10">
        <f t="shared" si="17"/>
        <v>32253229</v>
      </c>
      <c r="P205" s="12">
        <f t="shared" si="18"/>
        <v>0.8046611135</v>
      </c>
    </row>
    <row r="206">
      <c r="A206" s="5" t="s">
        <v>29</v>
      </c>
      <c r="B206" s="7">
        <v>4201104.0</v>
      </c>
      <c r="C206" s="14">
        <v>4373874.0</v>
      </c>
      <c r="D206" s="7">
        <v>1519003.0</v>
      </c>
      <c r="E206" s="7">
        <v>1.0767616E7</v>
      </c>
      <c r="F206" s="7"/>
      <c r="G206" s="7"/>
      <c r="I206" s="7"/>
      <c r="J206" s="7">
        <v>205604.0</v>
      </c>
      <c r="K206" s="7">
        <v>5072380.0</v>
      </c>
      <c r="L206" s="14">
        <v>501671.0</v>
      </c>
      <c r="M206" s="7">
        <v>1.3441745E7</v>
      </c>
      <c r="O206" s="10">
        <f t="shared" si="17"/>
        <v>40082997</v>
      </c>
      <c r="P206" s="12">
        <f t="shared" si="18"/>
        <v>1</v>
      </c>
    </row>
    <row r="207">
      <c r="A207" s="5" t="s">
        <v>30</v>
      </c>
      <c r="B207" s="7">
        <v>4201104.0</v>
      </c>
      <c r="C207" s="14">
        <v>4373874.0</v>
      </c>
      <c r="D207" s="7">
        <v>1519003.0</v>
      </c>
      <c r="E207" s="7">
        <v>1.0767616E7</v>
      </c>
      <c r="F207" s="7"/>
      <c r="G207" s="7"/>
      <c r="I207" s="7"/>
      <c r="J207" s="7">
        <v>205604.0</v>
      </c>
      <c r="K207" s="7">
        <v>5072380.0</v>
      </c>
      <c r="L207" s="14">
        <v>501671.0</v>
      </c>
      <c r="M207" s="7">
        <v>1.3441745E7</v>
      </c>
      <c r="O207" s="10">
        <f t="shared" si="17"/>
        <v>40082997</v>
      </c>
      <c r="P207" s="12">
        <f t="shared" si="18"/>
        <v>1</v>
      </c>
    </row>
    <row r="208">
      <c r="A208" s="5" t="s">
        <v>31</v>
      </c>
      <c r="B208" s="7">
        <v>3780993.0</v>
      </c>
      <c r="C208" s="14">
        <v>3936487.0</v>
      </c>
      <c r="D208" s="7">
        <v>1367102.0</v>
      </c>
      <c r="E208" s="7">
        <v>9690854.0</v>
      </c>
      <c r="F208" s="7"/>
      <c r="G208" s="7"/>
      <c r="I208" s="7"/>
      <c r="J208" s="7">
        <v>185044.0</v>
      </c>
      <c r="K208" s="7">
        <v>4565142.0</v>
      </c>
      <c r="L208" s="14">
        <v>451504.0</v>
      </c>
      <c r="M208" s="7">
        <v>1.209757E7</v>
      </c>
      <c r="O208" s="10">
        <f t="shared" si="17"/>
        <v>36074696</v>
      </c>
      <c r="P208" s="12">
        <f t="shared" si="18"/>
        <v>0.8999999676</v>
      </c>
    </row>
    <row r="209">
      <c r="A209" s="5" t="s">
        <v>32</v>
      </c>
      <c r="B209" s="7">
        <v>4201104.0</v>
      </c>
      <c r="C209" s="14">
        <v>4373874.0</v>
      </c>
      <c r="D209" s="7">
        <v>1519003.0</v>
      </c>
      <c r="E209" s="7">
        <v>1.0767616E7</v>
      </c>
      <c r="F209" s="7"/>
      <c r="G209" s="7"/>
      <c r="I209" s="7"/>
      <c r="J209" s="7">
        <v>205604.0</v>
      </c>
      <c r="K209" s="7">
        <v>5072380.0</v>
      </c>
      <c r="L209" s="14">
        <v>501671.0</v>
      </c>
      <c r="M209" s="7">
        <v>1.3441745E7</v>
      </c>
      <c r="O209" s="10">
        <f t="shared" si="17"/>
        <v>40082997</v>
      </c>
      <c r="P209" s="12">
        <f t="shared" si="18"/>
        <v>1</v>
      </c>
    </row>
    <row r="210">
      <c r="A210" s="4" t="s">
        <v>33</v>
      </c>
      <c r="B210" s="7">
        <v>4056082.0</v>
      </c>
      <c r="C210" s="14">
        <v>4373874.0</v>
      </c>
      <c r="D210" s="7">
        <v>1519003.0</v>
      </c>
      <c r="E210" s="7">
        <v>1.0765998E7</v>
      </c>
      <c r="F210" s="7"/>
      <c r="G210" s="7"/>
      <c r="I210" s="7"/>
      <c r="J210" s="7">
        <v>205604.0</v>
      </c>
      <c r="K210" s="7">
        <v>5053018.0</v>
      </c>
      <c r="L210" s="14">
        <v>501671.0</v>
      </c>
      <c r="M210" s="7">
        <v>1.3332073E7</v>
      </c>
      <c r="O210" s="10">
        <f t="shared" si="17"/>
        <v>39807323</v>
      </c>
      <c r="P210" s="12">
        <f t="shared" si="18"/>
        <v>0.9931224205</v>
      </c>
    </row>
    <row r="211">
      <c r="A211" s="5" t="s">
        <v>34</v>
      </c>
      <c r="B211" s="7">
        <v>4201104.0</v>
      </c>
      <c r="C211" s="14">
        <v>4373874.0</v>
      </c>
      <c r="D211" s="7">
        <v>1519003.0</v>
      </c>
      <c r="E211" s="7">
        <v>1.0767616E7</v>
      </c>
      <c r="F211" s="7"/>
      <c r="G211" s="7"/>
      <c r="I211" s="7"/>
      <c r="J211" s="7">
        <v>205604.0</v>
      </c>
      <c r="K211" s="7">
        <v>5072380.0</v>
      </c>
      <c r="L211" s="14">
        <v>501671.0</v>
      </c>
      <c r="M211" s="7">
        <v>1.3441745E7</v>
      </c>
      <c r="O211" s="10">
        <f t="shared" si="17"/>
        <v>40082997</v>
      </c>
      <c r="P211" s="12">
        <f t="shared" si="18"/>
        <v>1</v>
      </c>
    </row>
    <row r="212">
      <c r="A212" s="5" t="s">
        <v>35</v>
      </c>
      <c r="B212" s="7">
        <v>3386715.0</v>
      </c>
      <c r="C212" s="14">
        <v>3499099.0</v>
      </c>
      <c r="D212" s="7">
        <v>1215202.0</v>
      </c>
      <c r="E212" s="7">
        <v>8614093.0</v>
      </c>
      <c r="F212" s="7"/>
      <c r="G212" s="7"/>
      <c r="I212" s="7"/>
      <c r="J212" s="7">
        <v>164483.0</v>
      </c>
      <c r="K212" s="7">
        <v>4057904.0</v>
      </c>
      <c r="L212" s="14">
        <v>401337.0</v>
      </c>
      <c r="M212" s="7">
        <v>1.0764201E7</v>
      </c>
      <c r="O212" s="10">
        <f t="shared" si="17"/>
        <v>32103034</v>
      </c>
      <c r="P212" s="12">
        <f t="shared" si="18"/>
        <v>0.8009140135</v>
      </c>
    </row>
    <row r="213">
      <c r="A213" s="5" t="s">
        <v>36</v>
      </c>
      <c r="B213" s="7">
        <v>4201104.0</v>
      </c>
      <c r="C213" s="14">
        <v>4373874.0</v>
      </c>
      <c r="D213" s="7">
        <v>1519003.0</v>
      </c>
      <c r="E213" s="7">
        <v>1.0767616E7</v>
      </c>
      <c r="F213" s="7"/>
      <c r="G213" s="7"/>
      <c r="I213" s="7"/>
      <c r="J213" s="7">
        <v>205604.0</v>
      </c>
      <c r="K213" s="7">
        <v>5072380.0</v>
      </c>
      <c r="L213" s="14">
        <v>501671.0</v>
      </c>
      <c r="M213" s="7">
        <v>1.3441745E7</v>
      </c>
      <c r="O213" s="10">
        <f t="shared" si="17"/>
        <v>40082997</v>
      </c>
      <c r="P213" s="12">
        <f t="shared" si="18"/>
        <v>1</v>
      </c>
    </row>
    <row r="214">
      <c r="A214" s="4" t="s">
        <v>37</v>
      </c>
      <c r="B214" s="7">
        <v>4056082.0</v>
      </c>
      <c r="C214" s="14">
        <v>4373874.0</v>
      </c>
      <c r="D214" s="7">
        <v>1519003.0</v>
      </c>
      <c r="E214" s="7">
        <v>1.0765998E7</v>
      </c>
      <c r="F214" s="7"/>
      <c r="G214" s="7"/>
      <c r="I214" s="7"/>
      <c r="J214" s="7">
        <v>205604.0</v>
      </c>
      <c r="K214" s="7">
        <v>5053018.0</v>
      </c>
      <c r="L214" s="14">
        <v>501671.0</v>
      </c>
      <c r="M214" s="7">
        <v>1.3362898E7</v>
      </c>
      <c r="O214" s="10">
        <f t="shared" si="17"/>
        <v>39838148</v>
      </c>
      <c r="P214" s="12">
        <f t="shared" si="18"/>
        <v>0.9938914498</v>
      </c>
    </row>
    <row r="217">
      <c r="B217" s="1">
        <v>45931.0</v>
      </c>
      <c r="C217" s="1">
        <v>45933.0</v>
      </c>
      <c r="D217" s="1">
        <v>45938.0</v>
      </c>
      <c r="E217" s="1">
        <v>45939.0</v>
      </c>
      <c r="F217" s="1">
        <v>45947.0</v>
      </c>
      <c r="G217" s="1">
        <v>45955.0</v>
      </c>
      <c r="H217" s="2">
        <v>45959.0</v>
      </c>
      <c r="I217" s="1">
        <v>45961.0</v>
      </c>
      <c r="J217" s="1">
        <v>45935.0</v>
      </c>
      <c r="K217" s="1">
        <v>45945.0</v>
      </c>
      <c r="L217" s="1">
        <v>45956.0</v>
      </c>
      <c r="M217" s="1">
        <v>45961.0</v>
      </c>
      <c r="O217" s="4" t="s">
        <v>4</v>
      </c>
    </row>
    <row r="218">
      <c r="A218" s="5" t="s">
        <v>5</v>
      </c>
      <c r="B218" s="7">
        <v>4016831.0</v>
      </c>
      <c r="C218" s="8">
        <v>2825804.0</v>
      </c>
      <c r="D218" s="7">
        <v>1459111.0</v>
      </c>
      <c r="E218" s="7">
        <v>2951130.0</v>
      </c>
      <c r="F218" s="7">
        <v>4785707.0</v>
      </c>
      <c r="G218" s="7">
        <v>5020870.0</v>
      </c>
      <c r="H218" s="7">
        <v>1.2707287E7</v>
      </c>
      <c r="I218" s="7">
        <v>901705.0</v>
      </c>
      <c r="J218" s="7">
        <v>226398.0</v>
      </c>
      <c r="K218" s="7">
        <v>3584615.0</v>
      </c>
      <c r="L218" s="8">
        <v>930773.0</v>
      </c>
      <c r="M218" s="7">
        <v>1.4926486E7</v>
      </c>
      <c r="O218" s="10">
        <f t="shared" ref="O218:O238" si="19">SUM(B218:N218)</f>
        <v>54336717</v>
      </c>
      <c r="P218" s="12">
        <f t="shared" ref="P218:P238" si="20">O218/$O$218</f>
        <v>1</v>
      </c>
    </row>
    <row r="219">
      <c r="A219" s="5" t="s">
        <v>18</v>
      </c>
      <c r="B219" s="7">
        <v>4016831.0</v>
      </c>
      <c r="C219" s="14">
        <v>2825804.0</v>
      </c>
      <c r="D219" s="7">
        <v>1459111.0</v>
      </c>
      <c r="E219" s="7">
        <v>2951130.0</v>
      </c>
      <c r="F219" s="7">
        <v>4785707.0</v>
      </c>
      <c r="G219" s="7">
        <v>5020870.0</v>
      </c>
      <c r="H219" s="7">
        <v>1.2707287E7</v>
      </c>
      <c r="I219" s="7">
        <v>901705.0</v>
      </c>
      <c r="J219" s="7">
        <v>226398.0</v>
      </c>
      <c r="K219" s="7">
        <v>3584615.0</v>
      </c>
      <c r="L219" s="14">
        <v>930773.0</v>
      </c>
      <c r="M219" s="7">
        <v>1.4926486E7</v>
      </c>
      <c r="O219" s="10">
        <f t="shared" si="19"/>
        <v>54336717</v>
      </c>
      <c r="P219" s="12">
        <f t="shared" si="20"/>
        <v>1</v>
      </c>
    </row>
    <row r="220">
      <c r="A220" s="4" t="s">
        <v>19</v>
      </c>
      <c r="B220" s="7">
        <v>4016831.0</v>
      </c>
      <c r="C220" s="14">
        <v>2825804.0</v>
      </c>
      <c r="D220" s="7">
        <v>1459111.0</v>
      </c>
      <c r="E220" s="7">
        <v>2951130.0</v>
      </c>
      <c r="F220" s="7">
        <v>4785707.0</v>
      </c>
      <c r="G220" s="7">
        <v>5020870.0</v>
      </c>
      <c r="H220" s="7">
        <v>1.2707287E7</v>
      </c>
      <c r="I220" s="7">
        <v>901705.0</v>
      </c>
      <c r="J220" s="7">
        <v>226398.0</v>
      </c>
      <c r="K220" s="7">
        <v>3584615.0</v>
      </c>
      <c r="L220" s="14">
        <v>930773.0</v>
      </c>
      <c r="M220" s="7">
        <v>1.4926486E7</v>
      </c>
      <c r="O220" s="10">
        <f t="shared" si="19"/>
        <v>54336717</v>
      </c>
      <c r="P220" s="12">
        <f t="shared" si="20"/>
        <v>1</v>
      </c>
    </row>
    <row r="221">
      <c r="A221" s="5" t="s">
        <v>20</v>
      </c>
      <c r="B221" s="7">
        <v>4016831.0</v>
      </c>
      <c r="C221" s="14">
        <v>2825804.0</v>
      </c>
      <c r="D221" s="7">
        <v>1459111.0</v>
      </c>
      <c r="E221" s="7">
        <v>2951130.0</v>
      </c>
      <c r="F221" s="7">
        <v>4785707.0</v>
      </c>
      <c r="G221" s="7">
        <v>5020870.0</v>
      </c>
      <c r="H221" s="7">
        <v>1.2707287E7</v>
      </c>
      <c r="I221" s="7">
        <v>901705.0</v>
      </c>
      <c r="J221" s="7">
        <v>226398.0</v>
      </c>
      <c r="K221" s="7">
        <v>3584615.0</v>
      </c>
      <c r="L221" s="14">
        <v>930773.0</v>
      </c>
      <c r="M221" s="7">
        <v>1.4926486E7</v>
      </c>
      <c r="O221" s="10">
        <f t="shared" si="19"/>
        <v>54336717</v>
      </c>
      <c r="P221" s="12">
        <f t="shared" si="20"/>
        <v>1</v>
      </c>
    </row>
    <row r="222">
      <c r="A222" s="5" t="s">
        <v>21</v>
      </c>
      <c r="B222" s="7">
        <v>4016831.0</v>
      </c>
      <c r="C222" s="14">
        <v>2825804.0</v>
      </c>
      <c r="D222" s="7">
        <v>1459111.0</v>
      </c>
      <c r="E222" s="7">
        <v>2951130.0</v>
      </c>
      <c r="F222" s="7">
        <v>4785707.0</v>
      </c>
      <c r="G222" s="7">
        <v>5020870.0</v>
      </c>
      <c r="H222" s="7">
        <v>1.2707287E7</v>
      </c>
      <c r="I222" s="7">
        <v>901705.0</v>
      </c>
      <c r="J222" s="7">
        <v>226398.0</v>
      </c>
      <c r="K222" s="7">
        <v>3584615.0</v>
      </c>
      <c r="L222" s="14">
        <v>930773.0</v>
      </c>
      <c r="M222" s="7">
        <v>1.4926486E7</v>
      </c>
      <c r="O222" s="10">
        <f t="shared" si="19"/>
        <v>54336717</v>
      </c>
      <c r="P222" s="12">
        <f t="shared" si="20"/>
        <v>1</v>
      </c>
    </row>
    <row r="223">
      <c r="A223" s="5" t="s">
        <v>22</v>
      </c>
      <c r="B223" s="7">
        <v>2869165.0</v>
      </c>
      <c r="C223" s="14">
        <v>2018431.0</v>
      </c>
      <c r="D223" s="7">
        <v>1042222.0</v>
      </c>
      <c r="E223" s="7">
        <v>2107950.0</v>
      </c>
      <c r="F223" s="7">
        <v>3418362.0</v>
      </c>
      <c r="G223" s="7">
        <v>3586335.0</v>
      </c>
      <c r="H223" s="7">
        <v>9076633.0</v>
      </c>
      <c r="I223" s="7">
        <v>644075.0</v>
      </c>
      <c r="J223" s="7">
        <v>161713.0</v>
      </c>
      <c r="K223" s="7">
        <v>2560439.0</v>
      </c>
      <c r="L223" s="14">
        <v>664838.0</v>
      </c>
      <c r="M223" s="7">
        <v>1.0661775E7</v>
      </c>
      <c r="O223" s="10">
        <f t="shared" si="19"/>
        <v>38811938</v>
      </c>
      <c r="P223" s="12">
        <f t="shared" si="20"/>
        <v>0.7142856643</v>
      </c>
    </row>
    <row r="224">
      <c r="A224" s="5" t="s">
        <v>23</v>
      </c>
      <c r="B224" s="7">
        <v>4016831.0</v>
      </c>
      <c r="C224" s="14">
        <v>2825804.0</v>
      </c>
      <c r="D224" s="7">
        <v>1459111.0</v>
      </c>
      <c r="E224" s="7">
        <v>2951130.0</v>
      </c>
      <c r="F224" s="7">
        <v>4785707.0</v>
      </c>
      <c r="G224" s="7">
        <v>5020870.0</v>
      </c>
      <c r="H224" s="7">
        <v>1.2707287E7</v>
      </c>
      <c r="I224" s="7">
        <v>901705.0</v>
      </c>
      <c r="J224" s="7">
        <v>226398.0</v>
      </c>
      <c r="K224" s="7">
        <v>3584615.0</v>
      </c>
      <c r="L224" s="14">
        <v>930773.0</v>
      </c>
      <c r="M224" s="7">
        <v>1.4926486E7</v>
      </c>
      <c r="O224" s="10">
        <f t="shared" si="19"/>
        <v>54336717</v>
      </c>
      <c r="P224" s="12">
        <f t="shared" si="20"/>
        <v>1</v>
      </c>
    </row>
    <row r="225">
      <c r="A225" s="5" t="s">
        <v>24</v>
      </c>
      <c r="B225" s="7">
        <v>2869165.0</v>
      </c>
      <c r="C225" s="14">
        <v>2018431.0</v>
      </c>
      <c r="D225" s="7">
        <v>1042222.0</v>
      </c>
      <c r="E225" s="7">
        <v>2107950.0</v>
      </c>
      <c r="F225" s="7">
        <v>3418362.0</v>
      </c>
      <c r="G225" s="7">
        <v>3586335.0</v>
      </c>
      <c r="H225" s="7">
        <v>9076633.0</v>
      </c>
      <c r="I225" s="7">
        <v>644075.0</v>
      </c>
      <c r="J225" s="7">
        <v>161713.0</v>
      </c>
      <c r="K225" s="7">
        <v>2560439.0</v>
      </c>
      <c r="L225" s="14">
        <v>664838.0</v>
      </c>
      <c r="M225" s="7">
        <v>1.0661775E7</v>
      </c>
      <c r="O225" s="10">
        <f t="shared" si="19"/>
        <v>38811938</v>
      </c>
      <c r="P225" s="12">
        <f t="shared" si="20"/>
        <v>0.7142856643</v>
      </c>
    </row>
    <row r="226">
      <c r="A226" s="5" t="s">
        <v>25</v>
      </c>
      <c r="B226" s="7">
        <v>4016831.0</v>
      </c>
      <c r="C226" s="14">
        <v>2825804.0</v>
      </c>
      <c r="D226" s="7">
        <v>1459111.0</v>
      </c>
      <c r="E226" s="7">
        <v>2951130.0</v>
      </c>
      <c r="F226" s="7">
        <v>4785707.0</v>
      </c>
      <c r="G226" s="7">
        <v>5020870.0</v>
      </c>
      <c r="H226" s="7">
        <v>1.2707287E7</v>
      </c>
      <c r="I226" s="7">
        <v>901705.0</v>
      </c>
      <c r="J226" s="7">
        <v>226398.0</v>
      </c>
      <c r="K226" s="7">
        <v>3584615.0</v>
      </c>
      <c r="L226" s="14">
        <v>930773.0</v>
      </c>
      <c r="M226" s="7">
        <v>1.4926486E7</v>
      </c>
      <c r="O226" s="10">
        <f t="shared" si="19"/>
        <v>54336717</v>
      </c>
      <c r="P226" s="12">
        <f t="shared" si="20"/>
        <v>1</v>
      </c>
    </row>
    <row r="227">
      <c r="A227" s="5" t="s">
        <v>26</v>
      </c>
      <c r="B227" s="7">
        <v>4016831.0</v>
      </c>
      <c r="C227" s="14">
        <v>2825804.0</v>
      </c>
      <c r="D227" s="7">
        <v>1459111.0</v>
      </c>
      <c r="E227" s="7">
        <v>2951130.0</v>
      </c>
      <c r="F227" s="7">
        <v>4785707.0</v>
      </c>
      <c r="G227" s="7">
        <v>5020870.0</v>
      </c>
      <c r="H227" s="7">
        <v>1.2707287E7</v>
      </c>
      <c r="I227" s="7">
        <v>901705.0</v>
      </c>
      <c r="J227" s="7">
        <v>226398.0</v>
      </c>
      <c r="K227" s="7">
        <v>3584615.0</v>
      </c>
      <c r="L227" s="14">
        <v>930773.0</v>
      </c>
      <c r="M227" s="7">
        <v>1.4926486E7</v>
      </c>
      <c r="O227" s="10">
        <f t="shared" si="19"/>
        <v>54336717</v>
      </c>
      <c r="P227" s="12">
        <f t="shared" si="20"/>
        <v>1</v>
      </c>
    </row>
    <row r="228">
      <c r="A228" s="5" t="s">
        <v>27</v>
      </c>
      <c r="B228" s="7">
        <v>4016831.0</v>
      </c>
      <c r="C228" s="14">
        <v>2825804.0</v>
      </c>
      <c r="D228" s="7">
        <v>1459111.0</v>
      </c>
      <c r="E228" s="7">
        <v>2951130.0</v>
      </c>
      <c r="F228" s="7">
        <v>4785707.0</v>
      </c>
      <c r="G228" s="7">
        <v>5020870.0</v>
      </c>
      <c r="H228" s="7">
        <v>1.2707287E7</v>
      </c>
      <c r="I228" s="7">
        <v>901705.0</v>
      </c>
      <c r="J228" s="7">
        <v>226398.0</v>
      </c>
      <c r="K228" s="7">
        <v>3584615.0</v>
      </c>
      <c r="L228" s="14">
        <v>930773.0</v>
      </c>
      <c r="M228" s="7">
        <v>1.4926486E7</v>
      </c>
      <c r="O228" s="10">
        <f t="shared" si="19"/>
        <v>54336717</v>
      </c>
      <c r="P228" s="12">
        <f t="shared" si="20"/>
        <v>1</v>
      </c>
    </row>
    <row r="229">
      <c r="A229" s="5" t="s">
        <v>28</v>
      </c>
      <c r="B229" s="7">
        <v>3213465.0</v>
      </c>
      <c r="C229" s="14">
        <v>2391252.0</v>
      </c>
      <c r="D229" s="7">
        <v>1167289.0</v>
      </c>
      <c r="E229" s="7">
        <v>2360904.0</v>
      </c>
      <c r="F229" s="7">
        <v>3951460.0</v>
      </c>
      <c r="G229" s="7">
        <v>4016696.0</v>
      </c>
      <c r="H229" s="7">
        <v>1.0165829E7</v>
      </c>
      <c r="I229" s="7">
        <v>721364.0</v>
      </c>
      <c r="J229" s="7">
        <v>181118.0</v>
      </c>
      <c r="K229" s="7">
        <v>2872113.0</v>
      </c>
      <c r="L229" s="14">
        <v>744618.0</v>
      </c>
      <c r="M229" s="7">
        <v>1.1941189E7</v>
      </c>
      <c r="O229" s="10">
        <f t="shared" si="19"/>
        <v>43727297</v>
      </c>
      <c r="P229" s="12">
        <f t="shared" si="20"/>
        <v>0.8047467608</v>
      </c>
    </row>
    <row r="230">
      <c r="A230" s="5" t="s">
        <v>29</v>
      </c>
      <c r="B230" s="7">
        <v>4016831.0</v>
      </c>
      <c r="C230" s="14">
        <v>2825804.0</v>
      </c>
      <c r="D230" s="7">
        <v>1459111.0</v>
      </c>
      <c r="E230" s="7">
        <v>2951130.0</v>
      </c>
      <c r="F230" s="7">
        <v>4785707.0</v>
      </c>
      <c r="G230" s="7">
        <v>5020870.0</v>
      </c>
      <c r="H230" s="7">
        <v>1.2707287E7</v>
      </c>
      <c r="I230" s="7">
        <v>901705.0</v>
      </c>
      <c r="J230" s="7">
        <v>226398.0</v>
      </c>
      <c r="K230" s="7">
        <v>3584615.0</v>
      </c>
      <c r="L230" s="14">
        <v>930773.0</v>
      </c>
      <c r="M230" s="7">
        <v>1.4926486E7</v>
      </c>
      <c r="O230" s="10">
        <f t="shared" si="19"/>
        <v>54336717</v>
      </c>
      <c r="P230" s="12">
        <f t="shared" si="20"/>
        <v>1</v>
      </c>
    </row>
    <row r="231">
      <c r="A231" s="5" t="s">
        <v>30</v>
      </c>
      <c r="B231" s="7">
        <v>4016831.0</v>
      </c>
      <c r="C231" s="14">
        <v>2825804.0</v>
      </c>
      <c r="D231" s="7">
        <v>1459111.0</v>
      </c>
      <c r="E231" s="7">
        <v>2951130.0</v>
      </c>
      <c r="F231" s="7">
        <v>4785707.0</v>
      </c>
      <c r="G231" s="7">
        <v>5020870.0</v>
      </c>
      <c r="H231" s="7">
        <v>1.2707287E7</v>
      </c>
      <c r="I231" s="7">
        <v>901705.0</v>
      </c>
      <c r="J231" s="7">
        <v>226398.0</v>
      </c>
      <c r="K231" s="7">
        <v>3584615.0</v>
      </c>
      <c r="L231" s="14">
        <v>930773.0</v>
      </c>
      <c r="M231" s="7">
        <v>1.4926486E7</v>
      </c>
      <c r="O231" s="10">
        <f t="shared" si="19"/>
        <v>54336717</v>
      </c>
      <c r="P231" s="12">
        <f t="shared" si="20"/>
        <v>1</v>
      </c>
    </row>
    <row r="232">
      <c r="A232" s="5" t="s">
        <v>31</v>
      </c>
      <c r="B232" s="7">
        <v>3615148.0</v>
      </c>
      <c r="C232" s="14">
        <v>2543223.0</v>
      </c>
      <c r="D232" s="7">
        <v>1313200.0</v>
      </c>
      <c r="E232" s="7">
        <v>2656017.0</v>
      </c>
      <c r="F232" s="7">
        <v>4307136.0</v>
      </c>
      <c r="G232" s="7">
        <v>4518783.0</v>
      </c>
      <c r="H232" s="7">
        <v>1.1436558E7</v>
      </c>
      <c r="I232" s="7">
        <v>811535.0</v>
      </c>
      <c r="J232" s="7">
        <v>203758.0</v>
      </c>
      <c r="K232" s="7">
        <v>3226153.0</v>
      </c>
      <c r="L232" s="14">
        <v>837696.0</v>
      </c>
      <c r="M232" s="7">
        <v>1.3433837E7</v>
      </c>
      <c r="O232" s="10">
        <f t="shared" si="19"/>
        <v>48903044</v>
      </c>
      <c r="P232" s="12">
        <f t="shared" si="20"/>
        <v>0.8999999761</v>
      </c>
    </row>
    <row r="233">
      <c r="A233" s="5" t="s">
        <v>32</v>
      </c>
      <c r="B233" s="7">
        <v>4016831.0</v>
      </c>
      <c r="C233" s="14">
        <v>2825804.0</v>
      </c>
      <c r="D233" s="7">
        <v>1459111.0</v>
      </c>
      <c r="E233" s="7">
        <v>2951130.0</v>
      </c>
      <c r="F233" s="7">
        <v>4785707.0</v>
      </c>
      <c r="G233" s="7">
        <v>5020870.0</v>
      </c>
      <c r="H233" s="7">
        <v>1.2707287E7</v>
      </c>
      <c r="I233" s="7">
        <v>901705.0</v>
      </c>
      <c r="J233" s="7">
        <v>226398.0</v>
      </c>
      <c r="K233" s="7">
        <v>3584615.0</v>
      </c>
      <c r="L233" s="14">
        <v>930773.0</v>
      </c>
      <c r="M233" s="7">
        <v>1.4926486E7</v>
      </c>
      <c r="O233" s="10">
        <f t="shared" si="19"/>
        <v>54336717</v>
      </c>
      <c r="P233" s="12">
        <f t="shared" si="20"/>
        <v>1</v>
      </c>
    </row>
    <row r="234">
      <c r="A234" s="4" t="s">
        <v>33</v>
      </c>
      <c r="B234" s="7">
        <v>4016831.0</v>
      </c>
      <c r="C234" s="14">
        <v>2640219.0</v>
      </c>
      <c r="D234" s="7">
        <v>1459111.0</v>
      </c>
      <c r="E234" s="7">
        <v>2951130.0</v>
      </c>
      <c r="F234" s="7">
        <v>4771910.0</v>
      </c>
      <c r="G234" s="7">
        <v>5020870.0</v>
      </c>
      <c r="H234" s="7">
        <v>1.2707287E7</v>
      </c>
      <c r="I234" s="7">
        <v>901705.0</v>
      </c>
      <c r="J234" s="7">
        <v>226398.0</v>
      </c>
      <c r="K234" s="7">
        <v>3578299.0</v>
      </c>
      <c r="L234" s="14">
        <v>930773.0</v>
      </c>
      <c r="M234" s="7">
        <v>1.4926486E7</v>
      </c>
      <c r="O234" s="10">
        <f t="shared" si="19"/>
        <v>54131019</v>
      </c>
      <c r="P234" s="12">
        <f t="shared" si="20"/>
        <v>0.996214383</v>
      </c>
    </row>
    <row r="235">
      <c r="A235" s="5" t="s">
        <v>34</v>
      </c>
      <c r="B235" s="7">
        <v>4016831.0</v>
      </c>
      <c r="C235" s="14">
        <v>2825804.0</v>
      </c>
      <c r="D235" s="7">
        <v>1459111.0</v>
      </c>
      <c r="E235" s="7">
        <v>2951130.0</v>
      </c>
      <c r="F235" s="7">
        <v>4785707.0</v>
      </c>
      <c r="G235" s="7">
        <v>5020870.0</v>
      </c>
      <c r="H235" s="7">
        <v>1.2707287E7</v>
      </c>
      <c r="I235" s="7">
        <v>901705.0</v>
      </c>
      <c r="J235" s="7">
        <v>226398.0</v>
      </c>
      <c r="K235" s="7">
        <v>3584615.0</v>
      </c>
      <c r="L235" s="14">
        <v>930773.0</v>
      </c>
      <c r="M235" s="7">
        <v>1.4926486E7</v>
      </c>
      <c r="O235" s="10">
        <f t="shared" si="19"/>
        <v>54336717</v>
      </c>
      <c r="P235" s="12">
        <f t="shared" si="20"/>
        <v>1</v>
      </c>
    </row>
    <row r="236">
      <c r="A236" s="5" t="s">
        <v>35</v>
      </c>
      <c r="B236" s="7">
        <v>3213465.0</v>
      </c>
      <c r="C236" s="14">
        <v>2260643.0</v>
      </c>
      <c r="D236" s="7">
        <v>1167289.0</v>
      </c>
      <c r="E236" s="7">
        <v>2360904.0</v>
      </c>
      <c r="F236" s="7">
        <v>3828565.0</v>
      </c>
      <c r="G236" s="7">
        <v>4016696.0</v>
      </c>
      <c r="H236" s="7">
        <v>1.0165829E7</v>
      </c>
      <c r="I236" s="7">
        <v>721364.0</v>
      </c>
      <c r="J236" s="7">
        <v>181118.0</v>
      </c>
      <c r="K236" s="7">
        <v>2867692.0</v>
      </c>
      <c r="L236" s="14">
        <v>744618.0</v>
      </c>
      <c r="M236" s="7">
        <v>1.1941189E7</v>
      </c>
      <c r="O236" s="10">
        <f t="shared" si="19"/>
        <v>43469372</v>
      </c>
      <c r="P236" s="12">
        <f t="shared" si="20"/>
        <v>0.7999999706</v>
      </c>
    </row>
    <row r="237">
      <c r="A237" s="5" t="s">
        <v>36</v>
      </c>
      <c r="B237" s="7">
        <v>4016831.0</v>
      </c>
      <c r="C237" s="14">
        <v>2825804.0</v>
      </c>
      <c r="D237" s="7">
        <v>1459111.0</v>
      </c>
      <c r="E237" s="7">
        <v>2951130.0</v>
      </c>
      <c r="F237" s="7">
        <v>4785707.0</v>
      </c>
      <c r="G237" s="7">
        <v>5020870.0</v>
      </c>
      <c r="H237" s="7">
        <v>1.2707287E7</v>
      </c>
      <c r="I237" s="7">
        <v>901705.0</v>
      </c>
      <c r="J237" s="7">
        <v>226398.0</v>
      </c>
      <c r="K237" s="7">
        <v>3584615.0</v>
      </c>
      <c r="L237" s="14">
        <v>930773.0</v>
      </c>
      <c r="M237" s="7">
        <v>1.4926486E7</v>
      </c>
      <c r="O237" s="10">
        <f t="shared" si="19"/>
        <v>54336717</v>
      </c>
      <c r="P237" s="12">
        <f t="shared" si="20"/>
        <v>1</v>
      </c>
    </row>
    <row r="238">
      <c r="A238" s="4" t="s">
        <v>37</v>
      </c>
      <c r="B238" s="7">
        <v>4016831.0</v>
      </c>
      <c r="C238" s="14">
        <v>2640219.0</v>
      </c>
      <c r="D238" s="7">
        <v>1459111.0</v>
      </c>
      <c r="E238" s="7">
        <v>2951130.0</v>
      </c>
      <c r="F238" s="7">
        <v>4771910.0</v>
      </c>
      <c r="G238" s="7">
        <v>5020870.0</v>
      </c>
      <c r="H238" s="7">
        <v>1.2707287E7</v>
      </c>
      <c r="I238" s="7">
        <v>901705.0</v>
      </c>
      <c r="J238" s="7">
        <v>226398.0</v>
      </c>
      <c r="K238" s="7">
        <v>3578299.0</v>
      </c>
      <c r="L238" s="14">
        <v>930773.0</v>
      </c>
      <c r="M238" s="7">
        <v>1.4926486E7</v>
      </c>
      <c r="O238" s="10">
        <f t="shared" si="19"/>
        <v>54131019</v>
      </c>
      <c r="P238" s="12">
        <f t="shared" si="20"/>
        <v>0.996214383</v>
      </c>
    </row>
    <row r="241">
      <c r="B241" s="1">
        <v>45967.0</v>
      </c>
      <c r="C241" s="2">
        <v>45974.0</v>
      </c>
      <c r="D241" s="2">
        <v>45975.0</v>
      </c>
      <c r="E241" s="2">
        <v>45981.0</v>
      </c>
      <c r="F241" s="2">
        <v>45988.0</v>
      </c>
      <c r="G241" s="2">
        <v>45989.0</v>
      </c>
      <c r="J241" s="2">
        <v>45975.0</v>
      </c>
      <c r="K241" s="2">
        <v>45988.0</v>
      </c>
      <c r="L241" s="2">
        <v>45989.0</v>
      </c>
      <c r="O241" s="4" t="s">
        <v>4</v>
      </c>
    </row>
    <row r="242">
      <c r="A242" s="5" t="s">
        <v>5</v>
      </c>
      <c r="B242" s="7">
        <v>5384517.0</v>
      </c>
      <c r="C242" s="7">
        <v>6165052.0</v>
      </c>
      <c r="D242" s="7">
        <v>5828794.0</v>
      </c>
      <c r="E242" s="7">
        <v>9368708.0</v>
      </c>
      <c r="F242" s="7">
        <v>486502.0</v>
      </c>
      <c r="G242" s="7">
        <v>1.5413454E7</v>
      </c>
      <c r="J242" s="7">
        <v>7583314.0</v>
      </c>
      <c r="K242" s="7">
        <v>741435.0</v>
      </c>
      <c r="L242" s="7">
        <v>9764410.0</v>
      </c>
      <c r="O242" s="10">
        <f t="shared" ref="O242:O262" si="21">SUM(B242:N242)</f>
        <v>60736186</v>
      </c>
      <c r="P242" s="12">
        <f t="shared" ref="P242:P262" si="22">O242/$O$242</f>
        <v>1</v>
      </c>
    </row>
    <row r="243">
      <c r="A243" s="5" t="s">
        <v>18</v>
      </c>
      <c r="B243" s="7">
        <v>5384517.0</v>
      </c>
      <c r="C243" s="7">
        <v>6165052.0</v>
      </c>
      <c r="D243" s="7">
        <v>5828794.0</v>
      </c>
      <c r="E243" s="7">
        <v>9368708.0</v>
      </c>
      <c r="F243" s="7">
        <v>486502.0</v>
      </c>
      <c r="G243" s="7">
        <v>1.5413454E7</v>
      </c>
      <c r="J243" s="7">
        <v>7583314.0</v>
      </c>
      <c r="K243" s="7">
        <v>741435.0</v>
      </c>
      <c r="L243" s="7">
        <v>9764410.0</v>
      </c>
      <c r="O243" s="10">
        <f t="shared" si="21"/>
        <v>60736186</v>
      </c>
      <c r="P243" s="12">
        <f t="shared" si="22"/>
        <v>1</v>
      </c>
    </row>
    <row r="244">
      <c r="A244" s="4" t="s">
        <v>19</v>
      </c>
      <c r="B244" s="7">
        <v>5384517.0</v>
      </c>
      <c r="C244" s="7">
        <v>6165052.0</v>
      </c>
      <c r="D244" s="7">
        <v>5828794.0</v>
      </c>
      <c r="E244" s="7">
        <v>9368708.0</v>
      </c>
      <c r="F244" s="7">
        <v>486502.0</v>
      </c>
      <c r="G244" s="7">
        <v>1.5413454E7</v>
      </c>
      <c r="J244" s="7">
        <v>7583314.0</v>
      </c>
      <c r="K244" s="7">
        <v>741435.0</v>
      </c>
      <c r="L244" s="7">
        <v>9764410.0</v>
      </c>
      <c r="O244" s="10">
        <f t="shared" si="21"/>
        <v>60736186</v>
      </c>
      <c r="P244" s="12">
        <f t="shared" si="22"/>
        <v>1</v>
      </c>
    </row>
    <row r="245">
      <c r="A245" s="5" t="s">
        <v>20</v>
      </c>
      <c r="B245" s="7">
        <v>5384517.0</v>
      </c>
      <c r="C245" s="7">
        <v>6165052.0</v>
      </c>
      <c r="D245" s="7">
        <v>5828794.0</v>
      </c>
      <c r="E245" s="7">
        <v>9368708.0</v>
      </c>
      <c r="F245" s="7">
        <v>486502.0</v>
      </c>
      <c r="G245" s="7">
        <v>1.5413454E7</v>
      </c>
      <c r="J245" s="7">
        <v>7583314.0</v>
      </c>
      <c r="K245" s="7">
        <v>741435.0</v>
      </c>
      <c r="L245" s="7">
        <v>9764410.0</v>
      </c>
      <c r="O245" s="10">
        <f t="shared" si="21"/>
        <v>60736186</v>
      </c>
      <c r="P245" s="12">
        <f t="shared" si="22"/>
        <v>1</v>
      </c>
    </row>
    <row r="246">
      <c r="A246" s="5" t="s">
        <v>21</v>
      </c>
      <c r="B246" s="7">
        <v>5384517.0</v>
      </c>
      <c r="C246" s="7">
        <v>6165052.0</v>
      </c>
      <c r="D246" s="7">
        <v>5828794.0</v>
      </c>
      <c r="E246" s="7">
        <v>9368708.0</v>
      </c>
      <c r="F246" s="7">
        <v>486502.0</v>
      </c>
      <c r="G246" s="7">
        <v>1.5413454E7</v>
      </c>
      <c r="J246" s="7">
        <v>7583314.0</v>
      </c>
      <c r="K246" s="7">
        <v>741435.0</v>
      </c>
      <c r="L246" s="7">
        <v>9764410.0</v>
      </c>
      <c r="O246" s="10">
        <f t="shared" si="21"/>
        <v>60736186</v>
      </c>
      <c r="P246" s="12">
        <f t="shared" si="22"/>
        <v>1</v>
      </c>
    </row>
    <row r="247">
      <c r="A247" s="5" t="s">
        <v>22</v>
      </c>
      <c r="B247" s="7">
        <v>3846083.0</v>
      </c>
      <c r="C247" s="7">
        <v>4403609.0</v>
      </c>
      <c r="D247" s="7">
        <v>4163424.0</v>
      </c>
      <c r="E247" s="7">
        <v>6691934.0</v>
      </c>
      <c r="F247" s="7">
        <v>347501.0</v>
      </c>
      <c r="G247" s="7">
        <v>1.100961E7</v>
      </c>
      <c r="J247" s="7">
        <v>5416653.0</v>
      </c>
      <c r="K247" s="7">
        <v>529596.0</v>
      </c>
      <c r="L247" s="7">
        <v>6974579.0</v>
      </c>
      <c r="O247" s="10">
        <f t="shared" si="21"/>
        <v>43382989</v>
      </c>
      <c r="P247" s="12">
        <f t="shared" si="22"/>
        <v>0.7142856978</v>
      </c>
    </row>
    <row r="248">
      <c r="A248" s="5" t="s">
        <v>23</v>
      </c>
      <c r="B248" s="7">
        <v>5384517.0</v>
      </c>
      <c r="C248" s="7">
        <v>6165052.0</v>
      </c>
      <c r="D248" s="7">
        <v>5828794.0</v>
      </c>
      <c r="E248" s="7">
        <v>9368708.0</v>
      </c>
      <c r="F248" s="7">
        <v>486502.0</v>
      </c>
      <c r="G248" s="7">
        <v>1.5413454E7</v>
      </c>
      <c r="J248" s="7">
        <v>7583314.0</v>
      </c>
      <c r="K248" s="7">
        <v>741435.0</v>
      </c>
      <c r="L248" s="7">
        <v>9764410.0</v>
      </c>
      <c r="O248" s="10">
        <f t="shared" si="21"/>
        <v>60736186</v>
      </c>
      <c r="P248" s="12">
        <f t="shared" si="22"/>
        <v>1</v>
      </c>
    </row>
    <row r="249">
      <c r="A249" s="5" t="s">
        <v>24</v>
      </c>
      <c r="B249" s="7">
        <v>3846083.0</v>
      </c>
      <c r="C249" s="7">
        <v>4403609.0</v>
      </c>
      <c r="D249" s="7">
        <v>4163424.0</v>
      </c>
      <c r="E249" s="7">
        <v>6691934.0</v>
      </c>
      <c r="F249" s="7">
        <v>347501.0</v>
      </c>
      <c r="G249" s="7">
        <v>1.100961E7</v>
      </c>
      <c r="J249" s="7">
        <v>5416653.0</v>
      </c>
      <c r="K249" s="7">
        <v>529596.0</v>
      </c>
      <c r="L249" s="7">
        <v>6974579.0</v>
      </c>
      <c r="O249" s="10">
        <f t="shared" si="21"/>
        <v>43382989</v>
      </c>
      <c r="P249" s="12">
        <f t="shared" si="22"/>
        <v>0.7142856978</v>
      </c>
    </row>
    <row r="250">
      <c r="A250" s="5" t="s">
        <v>25</v>
      </c>
      <c r="B250" s="7">
        <v>5384517.0</v>
      </c>
      <c r="C250" s="7">
        <v>6165052.0</v>
      </c>
      <c r="D250" s="7">
        <v>5828794.0</v>
      </c>
      <c r="E250" s="7">
        <v>9368708.0</v>
      </c>
      <c r="F250" s="7">
        <v>486502.0</v>
      </c>
      <c r="G250" s="7">
        <v>1.5413454E7</v>
      </c>
      <c r="J250" s="7">
        <v>7583314.0</v>
      </c>
      <c r="K250" s="7">
        <v>741435.0</v>
      </c>
      <c r="L250" s="7">
        <v>9764410.0</v>
      </c>
      <c r="O250" s="10">
        <f t="shared" si="21"/>
        <v>60736186</v>
      </c>
      <c r="P250" s="12">
        <f t="shared" si="22"/>
        <v>1</v>
      </c>
    </row>
    <row r="251">
      <c r="A251" s="5" t="s">
        <v>26</v>
      </c>
      <c r="B251" s="7">
        <v>5384517.0</v>
      </c>
      <c r="C251" s="7">
        <v>6165052.0</v>
      </c>
      <c r="D251" s="7">
        <v>5828794.0</v>
      </c>
      <c r="E251" s="7">
        <v>9368708.0</v>
      </c>
      <c r="F251" s="7">
        <v>486502.0</v>
      </c>
      <c r="G251" s="7">
        <v>1.5413454E7</v>
      </c>
      <c r="J251" s="7">
        <v>7583314.0</v>
      </c>
      <c r="K251" s="7">
        <v>741435.0</v>
      </c>
      <c r="L251" s="7">
        <v>9764410.0</v>
      </c>
      <c r="O251" s="10">
        <f t="shared" si="21"/>
        <v>60736186</v>
      </c>
      <c r="P251" s="12">
        <f t="shared" si="22"/>
        <v>1</v>
      </c>
    </row>
    <row r="252">
      <c r="A252" s="5" t="s">
        <v>27</v>
      </c>
      <c r="B252" s="7">
        <v>5384517.0</v>
      </c>
      <c r="C252" s="7">
        <v>6165052.0</v>
      </c>
      <c r="D252" s="7">
        <v>5828794.0</v>
      </c>
      <c r="E252" s="7">
        <v>9368708.0</v>
      </c>
      <c r="F252" s="7">
        <v>486502.0</v>
      </c>
      <c r="G252" s="7">
        <v>1.5413454E7</v>
      </c>
      <c r="J252" s="7">
        <v>7583314.0</v>
      </c>
      <c r="K252" s="7">
        <v>741435.0</v>
      </c>
      <c r="L252" s="7">
        <v>9764410.0</v>
      </c>
      <c r="O252" s="10">
        <f t="shared" si="21"/>
        <v>60736186</v>
      </c>
      <c r="P252" s="12">
        <f t="shared" si="22"/>
        <v>1</v>
      </c>
    </row>
    <row r="253">
      <c r="A253" s="5" t="s">
        <v>28</v>
      </c>
      <c r="B253" s="7">
        <v>4394025.0</v>
      </c>
      <c r="C253" s="7">
        <v>4932042.0</v>
      </c>
      <c r="D253" s="7">
        <v>4663035.0</v>
      </c>
      <c r="E253" s="7">
        <v>7494966.0</v>
      </c>
      <c r="F253" s="7">
        <v>389201.0</v>
      </c>
      <c r="G253" s="7">
        <v>1.2330763E7</v>
      </c>
      <c r="J253" s="7">
        <v>6067629.0</v>
      </c>
      <c r="K253" s="7">
        <v>593148.0</v>
      </c>
      <c r="L253" s="7">
        <v>7811528.0</v>
      </c>
      <c r="O253" s="10">
        <f t="shared" si="21"/>
        <v>48676337</v>
      </c>
      <c r="P253" s="12">
        <f t="shared" si="22"/>
        <v>0.8014388161</v>
      </c>
    </row>
    <row r="254">
      <c r="A254" s="5" t="s">
        <v>29</v>
      </c>
      <c r="B254" s="7">
        <v>5384517.0</v>
      </c>
      <c r="C254" s="7">
        <v>6165052.0</v>
      </c>
      <c r="D254" s="7">
        <v>5828794.0</v>
      </c>
      <c r="E254" s="7">
        <v>9368708.0</v>
      </c>
      <c r="F254" s="7">
        <v>486502.0</v>
      </c>
      <c r="G254" s="7">
        <v>1.5413454E7</v>
      </c>
      <c r="J254" s="7">
        <v>7583314.0</v>
      </c>
      <c r="K254" s="7">
        <v>741435.0</v>
      </c>
      <c r="L254" s="7">
        <v>9764410.0</v>
      </c>
      <c r="O254" s="10">
        <f t="shared" si="21"/>
        <v>60736186</v>
      </c>
      <c r="P254" s="12">
        <f t="shared" si="22"/>
        <v>1</v>
      </c>
    </row>
    <row r="255">
      <c r="A255" s="5" t="s">
        <v>30</v>
      </c>
      <c r="B255" s="7">
        <v>5384517.0</v>
      </c>
      <c r="C255" s="7">
        <v>6165052.0</v>
      </c>
      <c r="D255" s="7">
        <v>5828794.0</v>
      </c>
      <c r="E255" s="7">
        <v>9368708.0</v>
      </c>
      <c r="F255" s="7">
        <v>486502.0</v>
      </c>
      <c r="G255" s="7">
        <v>1.5413454E7</v>
      </c>
      <c r="J255" s="7">
        <v>7583314.0</v>
      </c>
      <c r="K255" s="7">
        <v>741435.0</v>
      </c>
      <c r="L255" s="7">
        <v>9764410.0</v>
      </c>
      <c r="O255" s="10">
        <f t="shared" si="21"/>
        <v>60736186</v>
      </c>
      <c r="P255" s="12">
        <f t="shared" si="22"/>
        <v>1</v>
      </c>
    </row>
    <row r="256">
      <c r="A256" s="5" t="s">
        <v>31</v>
      </c>
      <c r="B256" s="7">
        <v>4846065.0</v>
      </c>
      <c r="C256" s="7">
        <v>5548547.0</v>
      </c>
      <c r="D256" s="7">
        <v>5245915.0</v>
      </c>
      <c r="E256" s="7">
        <v>8431837.0</v>
      </c>
      <c r="F256" s="7">
        <v>437852.0</v>
      </c>
      <c r="G256" s="7">
        <v>1.3872109E7</v>
      </c>
      <c r="J256" s="7">
        <v>6824982.0</v>
      </c>
      <c r="K256" s="7">
        <v>667291.0</v>
      </c>
      <c r="L256" s="7">
        <v>8787969.0</v>
      </c>
      <c r="O256" s="10">
        <f t="shared" si="21"/>
        <v>54662567</v>
      </c>
      <c r="P256" s="12">
        <f t="shared" si="22"/>
        <v>0.8999999934</v>
      </c>
    </row>
    <row r="257">
      <c r="A257" s="5" t="s">
        <v>32</v>
      </c>
      <c r="B257" s="7">
        <v>5384517.0</v>
      </c>
      <c r="C257" s="7">
        <v>6165052.0</v>
      </c>
      <c r="D257" s="7">
        <v>5828794.0</v>
      </c>
      <c r="E257" s="7">
        <v>9368708.0</v>
      </c>
      <c r="F257" s="7">
        <v>486502.0</v>
      </c>
      <c r="G257" s="7">
        <v>1.5413454E7</v>
      </c>
      <c r="J257" s="7">
        <v>7583314.0</v>
      </c>
      <c r="K257" s="7">
        <v>741435.0</v>
      </c>
      <c r="L257" s="7">
        <v>9764410.0</v>
      </c>
      <c r="O257" s="10">
        <f t="shared" si="21"/>
        <v>60736186</v>
      </c>
      <c r="P257" s="12">
        <f t="shared" si="22"/>
        <v>1</v>
      </c>
    </row>
    <row r="258">
      <c r="A258" s="4" t="s">
        <v>33</v>
      </c>
      <c r="B258" s="7">
        <v>5377587.0</v>
      </c>
      <c r="C258" s="7">
        <v>6165052.0</v>
      </c>
      <c r="D258" s="7">
        <v>5828794.0</v>
      </c>
      <c r="E258" s="7">
        <v>9368708.0</v>
      </c>
      <c r="F258" s="7">
        <v>486502.0</v>
      </c>
      <c r="G258" s="7">
        <v>1.5413454E7</v>
      </c>
      <c r="J258" s="7">
        <v>7583314.0</v>
      </c>
      <c r="K258" s="7">
        <v>741435.0</v>
      </c>
      <c r="L258" s="7">
        <v>9764410.0</v>
      </c>
      <c r="O258" s="10">
        <f t="shared" si="21"/>
        <v>60729256</v>
      </c>
      <c r="P258" s="12">
        <f t="shared" si="22"/>
        <v>0.9998859</v>
      </c>
    </row>
    <row r="259">
      <c r="A259" s="5" t="s">
        <v>34</v>
      </c>
      <c r="B259" s="7">
        <v>5384517.0</v>
      </c>
      <c r="C259" s="7">
        <v>6165052.0</v>
      </c>
      <c r="D259" s="7">
        <v>5828794.0</v>
      </c>
      <c r="E259" s="7">
        <v>9368708.0</v>
      </c>
      <c r="F259" s="7">
        <v>486502.0</v>
      </c>
      <c r="G259" s="7">
        <v>1.5413454E7</v>
      </c>
      <c r="J259" s="7">
        <v>7583314.0</v>
      </c>
      <c r="K259" s="7">
        <v>741435.0</v>
      </c>
      <c r="L259" s="7">
        <v>9764410.0</v>
      </c>
      <c r="O259" s="10">
        <f t="shared" si="21"/>
        <v>60736186</v>
      </c>
      <c r="P259" s="12">
        <f t="shared" si="22"/>
        <v>1</v>
      </c>
    </row>
    <row r="260">
      <c r="A260" s="5" t="s">
        <v>35</v>
      </c>
      <c r="B260" s="7">
        <v>4307613.0</v>
      </c>
      <c r="C260" s="7">
        <v>4932042.0</v>
      </c>
      <c r="D260" s="7">
        <v>4663035.0</v>
      </c>
      <c r="E260" s="7">
        <v>7494966.0</v>
      </c>
      <c r="F260" s="7">
        <v>389201.0</v>
      </c>
      <c r="G260" s="7">
        <v>1.2330763E7</v>
      </c>
      <c r="J260" s="7">
        <v>6066651.0</v>
      </c>
      <c r="K260" s="7">
        <v>593148.0</v>
      </c>
      <c r="L260" s="7">
        <v>7811528.0</v>
      </c>
      <c r="O260" s="10">
        <f t="shared" si="21"/>
        <v>48588947</v>
      </c>
      <c r="P260" s="12">
        <f t="shared" si="22"/>
        <v>0.7999999704</v>
      </c>
    </row>
    <row r="261">
      <c r="A261" s="5" t="s">
        <v>36</v>
      </c>
      <c r="B261" s="7">
        <v>5384517.0</v>
      </c>
      <c r="C261" s="7">
        <v>6165052.0</v>
      </c>
      <c r="D261" s="7">
        <v>5828794.0</v>
      </c>
      <c r="E261" s="7">
        <v>9368708.0</v>
      </c>
      <c r="F261" s="7">
        <v>486502.0</v>
      </c>
      <c r="G261" s="7">
        <v>1.5413454E7</v>
      </c>
      <c r="J261" s="7">
        <v>7583314.0</v>
      </c>
      <c r="K261" s="7">
        <v>741435.0</v>
      </c>
      <c r="L261" s="7">
        <v>9764410.0</v>
      </c>
      <c r="O261" s="10">
        <f t="shared" si="21"/>
        <v>60736186</v>
      </c>
      <c r="P261" s="12">
        <f t="shared" si="22"/>
        <v>1</v>
      </c>
    </row>
    <row r="262">
      <c r="A262" s="4" t="s">
        <v>37</v>
      </c>
      <c r="B262" s="7">
        <v>5377587.0</v>
      </c>
      <c r="C262" s="7">
        <v>6165052.0</v>
      </c>
      <c r="D262" s="7">
        <v>5828794.0</v>
      </c>
      <c r="E262" s="7">
        <v>9368708.0</v>
      </c>
      <c r="F262" s="7">
        <v>486502.0</v>
      </c>
      <c r="G262" s="7">
        <v>1.5413454E7</v>
      </c>
      <c r="J262" s="7">
        <v>7583314.0</v>
      </c>
      <c r="K262" s="7">
        <v>741435.0</v>
      </c>
      <c r="L262" s="7">
        <v>9764410.0</v>
      </c>
      <c r="O262" s="10">
        <f t="shared" si="21"/>
        <v>60729256</v>
      </c>
      <c r="P262" s="12">
        <f t="shared" si="22"/>
        <v>0.9998859</v>
      </c>
    </row>
    <row r="265">
      <c r="B265" s="1">
        <v>45996.0</v>
      </c>
      <c r="C265" s="2">
        <v>46003.0</v>
      </c>
      <c r="D265" s="2">
        <v>46010.0</v>
      </c>
      <c r="E265" s="2">
        <v>46014.0</v>
      </c>
      <c r="F265" s="2">
        <v>46017.0</v>
      </c>
      <c r="G265" s="2">
        <v>46021.0</v>
      </c>
      <c r="J265" s="1">
        <v>45994.0</v>
      </c>
      <c r="K265" s="2">
        <v>46006.0</v>
      </c>
      <c r="L265" s="2">
        <v>46021.0</v>
      </c>
      <c r="M265" s="2">
        <v>46020.0</v>
      </c>
      <c r="O265" s="4" t="s">
        <v>4</v>
      </c>
    </row>
    <row r="266">
      <c r="A266" s="5" t="s">
        <v>5</v>
      </c>
      <c r="B266" s="7">
        <v>520018.0</v>
      </c>
      <c r="C266" s="8">
        <v>4249012.0</v>
      </c>
      <c r="D266" s="7">
        <v>5322141.0</v>
      </c>
      <c r="E266" s="7">
        <v>303074.0</v>
      </c>
      <c r="F266" s="7">
        <v>9373627.0</v>
      </c>
      <c r="G266" s="7">
        <v>9308769.0</v>
      </c>
      <c r="J266" s="8">
        <v>220438.0</v>
      </c>
      <c r="K266" s="8">
        <v>1.5898843E7</v>
      </c>
      <c r="L266" s="7">
        <v>8162611.0</v>
      </c>
      <c r="M266" s="7">
        <v>110874.0</v>
      </c>
      <c r="O266" s="10">
        <f t="shared" ref="O266:O286" si="23">SUM(B266:N266)</f>
        <v>53469407</v>
      </c>
      <c r="P266" s="12">
        <f t="shared" ref="P266:P286" si="24">O266/$O$266</f>
        <v>1</v>
      </c>
    </row>
    <row r="267">
      <c r="A267" s="5" t="s">
        <v>18</v>
      </c>
      <c r="B267" s="7">
        <v>520018.0</v>
      </c>
      <c r="C267" s="14">
        <v>4249012.0</v>
      </c>
      <c r="D267" s="7">
        <v>5322141.0</v>
      </c>
      <c r="E267" s="7">
        <v>303074.0</v>
      </c>
      <c r="F267" s="7">
        <v>9373627.0</v>
      </c>
      <c r="G267" s="7">
        <v>9308769.0</v>
      </c>
      <c r="J267" s="14">
        <v>220438.0</v>
      </c>
      <c r="K267" s="14">
        <v>1.5898843E7</v>
      </c>
      <c r="L267" s="7">
        <v>8162611.0</v>
      </c>
      <c r="M267" s="7">
        <v>110874.0</v>
      </c>
      <c r="O267" s="10">
        <f t="shared" si="23"/>
        <v>53469407</v>
      </c>
      <c r="P267" s="12">
        <f t="shared" si="24"/>
        <v>1</v>
      </c>
    </row>
    <row r="268">
      <c r="A268" s="4" t="s">
        <v>19</v>
      </c>
      <c r="B268" s="7">
        <v>520018.0</v>
      </c>
      <c r="C268" s="14">
        <v>4249012.0</v>
      </c>
      <c r="D268" s="7">
        <v>5322141.0</v>
      </c>
      <c r="E268" s="7">
        <v>303074.0</v>
      </c>
      <c r="F268" s="7">
        <v>9273354.0</v>
      </c>
      <c r="G268" s="7">
        <v>9308769.0</v>
      </c>
      <c r="J268" s="14">
        <v>220438.0</v>
      </c>
      <c r="K268" s="14">
        <v>1.5898843E7</v>
      </c>
      <c r="L268" s="7">
        <v>8162611.0</v>
      </c>
      <c r="M268" s="7">
        <v>110874.0</v>
      </c>
      <c r="O268" s="10">
        <f t="shared" si="23"/>
        <v>53369134</v>
      </c>
      <c r="P268" s="12">
        <f t="shared" si="24"/>
        <v>0.9981246659</v>
      </c>
    </row>
    <row r="269">
      <c r="A269" s="5" t="s">
        <v>20</v>
      </c>
      <c r="B269" s="7">
        <v>520018.0</v>
      </c>
      <c r="C269" s="14">
        <v>4249012.0</v>
      </c>
      <c r="D269" s="7">
        <v>5322141.0</v>
      </c>
      <c r="E269" s="7">
        <v>303074.0</v>
      </c>
      <c r="F269" s="7">
        <v>9373627.0</v>
      </c>
      <c r="G269" s="7">
        <v>9308769.0</v>
      </c>
      <c r="J269" s="14">
        <v>220438.0</v>
      </c>
      <c r="K269" s="14">
        <v>1.5898843E7</v>
      </c>
      <c r="L269" s="7">
        <v>8162611.0</v>
      </c>
      <c r="M269" s="7">
        <v>110874.0</v>
      </c>
      <c r="O269" s="10">
        <f t="shared" si="23"/>
        <v>53469407</v>
      </c>
      <c r="P269" s="12">
        <f t="shared" si="24"/>
        <v>1</v>
      </c>
    </row>
    <row r="270">
      <c r="A270" s="5" t="s">
        <v>21</v>
      </c>
      <c r="B270" s="7">
        <v>520018.0</v>
      </c>
      <c r="C270" s="14">
        <v>4249012.0</v>
      </c>
      <c r="D270" s="7">
        <v>5322141.0</v>
      </c>
      <c r="E270" s="7">
        <v>303074.0</v>
      </c>
      <c r="F270" s="7">
        <v>9373627.0</v>
      </c>
      <c r="G270" s="7">
        <v>9308769.0</v>
      </c>
      <c r="J270" s="14">
        <v>220438.0</v>
      </c>
      <c r="K270" s="14">
        <v>1.5898843E7</v>
      </c>
      <c r="L270" s="7">
        <v>8162611.0</v>
      </c>
      <c r="M270" s="7">
        <v>110874.0</v>
      </c>
      <c r="O270" s="10">
        <f t="shared" si="23"/>
        <v>53469407</v>
      </c>
      <c r="P270" s="12">
        <f t="shared" si="24"/>
        <v>1</v>
      </c>
    </row>
    <row r="271">
      <c r="A271" s="5" t="s">
        <v>22</v>
      </c>
      <c r="B271" s="7">
        <v>371441.0</v>
      </c>
      <c r="C271" s="14">
        <v>3035008.0</v>
      </c>
      <c r="D271" s="7">
        <v>3801529.0</v>
      </c>
      <c r="E271" s="7">
        <v>216481.0</v>
      </c>
      <c r="F271" s="7">
        <v>6695448.0</v>
      </c>
      <c r="G271" s="7">
        <v>6649121.0</v>
      </c>
      <c r="J271" s="14">
        <v>157456.0</v>
      </c>
      <c r="K271" s="14">
        <v>1.1356317E7</v>
      </c>
      <c r="L271" s="7">
        <v>5830436.0</v>
      </c>
      <c r="M271" s="7">
        <v>79196.0</v>
      </c>
      <c r="O271" s="10">
        <f t="shared" si="23"/>
        <v>38192433</v>
      </c>
      <c r="P271" s="12">
        <f t="shared" si="24"/>
        <v>0.7142857036</v>
      </c>
    </row>
    <row r="272">
      <c r="A272" s="5" t="s">
        <v>23</v>
      </c>
      <c r="B272" s="7">
        <v>520018.0</v>
      </c>
      <c r="C272" s="14">
        <v>4249012.0</v>
      </c>
      <c r="D272" s="7">
        <v>5322141.0</v>
      </c>
      <c r="E272" s="7">
        <v>303074.0</v>
      </c>
      <c r="F272" s="7">
        <v>9373627.0</v>
      </c>
      <c r="G272" s="7">
        <v>9308769.0</v>
      </c>
      <c r="J272" s="14">
        <v>220438.0</v>
      </c>
      <c r="K272" s="14">
        <v>1.5898843E7</v>
      </c>
      <c r="L272" s="7">
        <v>8162611.0</v>
      </c>
      <c r="M272" s="7">
        <v>110874.0</v>
      </c>
      <c r="O272" s="10">
        <f t="shared" si="23"/>
        <v>53469407</v>
      </c>
      <c r="P272" s="12">
        <f t="shared" si="24"/>
        <v>1</v>
      </c>
    </row>
    <row r="273">
      <c r="A273" s="5" t="s">
        <v>24</v>
      </c>
      <c r="B273" s="7">
        <v>371441.0</v>
      </c>
      <c r="C273" s="14">
        <v>3035008.0</v>
      </c>
      <c r="D273" s="7">
        <v>3801529.0</v>
      </c>
      <c r="E273" s="7">
        <v>216481.0</v>
      </c>
      <c r="F273" s="7">
        <v>6695448.0</v>
      </c>
      <c r="G273" s="7">
        <v>6649121.0</v>
      </c>
      <c r="J273" s="14">
        <v>157456.0</v>
      </c>
      <c r="K273" s="14">
        <v>1.1356317E7</v>
      </c>
      <c r="L273" s="7">
        <v>5830436.0</v>
      </c>
      <c r="M273" s="7">
        <v>79196.0</v>
      </c>
      <c r="O273" s="10">
        <f t="shared" si="23"/>
        <v>38192433</v>
      </c>
      <c r="P273" s="12">
        <f t="shared" si="24"/>
        <v>0.7142857036</v>
      </c>
    </row>
    <row r="274">
      <c r="A274" s="5" t="s">
        <v>25</v>
      </c>
      <c r="B274" s="7">
        <v>520018.0</v>
      </c>
      <c r="C274" s="14">
        <v>4249012.0</v>
      </c>
      <c r="D274" s="7">
        <v>5322141.0</v>
      </c>
      <c r="E274" s="7">
        <v>303074.0</v>
      </c>
      <c r="F274" s="7">
        <v>9373627.0</v>
      </c>
      <c r="G274" s="7">
        <v>9308769.0</v>
      </c>
      <c r="J274" s="14">
        <v>220438.0</v>
      </c>
      <c r="K274" s="14">
        <v>1.5898843E7</v>
      </c>
      <c r="L274" s="7">
        <v>8162611.0</v>
      </c>
      <c r="M274" s="7">
        <v>110874.0</v>
      </c>
      <c r="O274" s="10">
        <f t="shared" si="23"/>
        <v>53469407</v>
      </c>
      <c r="P274" s="12">
        <f t="shared" si="24"/>
        <v>1</v>
      </c>
    </row>
    <row r="275">
      <c r="A275" s="5" t="s">
        <v>26</v>
      </c>
      <c r="B275" s="7">
        <v>520018.0</v>
      </c>
      <c r="C275" s="14">
        <v>4249012.0</v>
      </c>
      <c r="D275" s="7">
        <v>5322141.0</v>
      </c>
      <c r="E275" s="7">
        <v>303074.0</v>
      </c>
      <c r="F275" s="7">
        <v>9373627.0</v>
      </c>
      <c r="G275" s="7">
        <v>9308769.0</v>
      </c>
      <c r="J275" s="14">
        <v>220438.0</v>
      </c>
      <c r="K275" s="14">
        <v>1.5898843E7</v>
      </c>
      <c r="L275" s="7">
        <v>8162611.0</v>
      </c>
      <c r="M275" s="7">
        <v>110874.0</v>
      </c>
      <c r="O275" s="10">
        <f t="shared" si="23"/>
        <v>53469407</v>
      </c>
      <c r="P275" s="12">
        <f t="shared" si="24"/>
        <v>1</v>
      </c>
    </row>
    <row r="276">
      <c r="A276" s="5" t="s">
        <v>27</v>
      </c>
      <c r="B276" s="7">
        <v>520018.0</v>
      </c>
      <c r="C276" s="14">
        <v>4249012.0</v>
      </c>
      <c r="D276" s="7">
        <v>5322141.0</v>
      </c>
      <c r="E276" s="7">
        <v>303074.0</v>
      </c>
      <c r="F276" s="7">
        <v>9373627.0</v>
      </c>
      <c r="G276" s="7">
        <v>9308769.0</v>
      </c>
      <c r="J276" s="14">
        <v>220438.0</v>
      </c>
      <c r="K276" s="14">
        <v>1.5898843E7</v>
      </c>
      <c r="L276" s="7">
        <v>8162611.0</v>
      </c>
      <c r="M276" s="7">
        <v>110874.0</v>
      </c>
      <c r="O276" s="10">
        <f t="shared" si="23"/>
        <v>53469407</v>
      </c>
      <c r="P276" s="12">
        <f t="shared" si="24"/>
        <v>1</v>
      </c>
    </row>
    <row r="277">
      <c r="A277" s="5" t="s">
        <v>28</v>
      </c>
      <c r="B277" s="7">
        <v>416014.0</v>
      </c>
      <c r="C277" s="14">
        <v>3399209.0</v>
      </c>
      <c r="D277" s="7">
        <v>4257713.0</v>
      </c>
      <c r="E277" s="7">
        <v>242459.0</v>
      </c>
      <c r="F277" s="7">
        <v>7508929.0</v>
      </c>
      <c r="G277" s="7">
        <v>7447015.0</v>
      </c>
      <c r="J277" s="14">
        <v>176351.0</v>
      </c>
      <c r="K277" s="14">
        <v>1.2719075E7</v>
      </c>
      <c r="L277" s="7">
        <v>6530089.0</v>
      </c>
      <c r="M277" s="7">
        <v>88699.0</v>
      </c>
      <c r="O277" s="10">
        <f t="shared" si="23"/>
        <v>42785553</v>
      </c>
      <c r="P277" s="12">
        <f t="shared" si="24"/>
        <v>0.8001875353</v>
      </c>
    </row>
    <row r="278">
      <c r="A278" s="5" t="s">
        <v>29</v>
      </c>
      <c r="B278" s="7">
        <v>520018.0</v>
      </c>
      <c r="C278" s="14">
        <v>4249012.0</v>
      </c>
      <c r="D278" s="7">
        <v>5322141.0</v>
      </c>
      <c r="E278" s="7">
        <v>303074.0</v>
      </c>
      <c r="F278" s="7">
        <v>9373627.0</v>
      </c>
      <c r="G278" s="7">
        <v>9308769.0</v>
      </c>
      <c r="J278" s="14">
        <v>220438.0</v>
      </c>
      <c r="K278" s="14">
        <v>1.5898843E7</v>
      </c>
      <c r="L278" s="7">
        <v>8162611.0</v>
      </c>
      <c r="M278" s="7">
        <v>110874.0</v>
      </c>
      <c r="O278" s="10">
        <f t="shared" si="23"/>
        <v>53469407</v>
      </c>
      <c r="P278" s="12">
        <f t="shared" si="24"/>
        <v>1</v>
      </c>
    </row>
    <row r="279">
      <c r="A279" s="5" t="s">
        <v>30</v>
      </c>
      <c r="B279" s="7">
        <v>520018.0</v>
      </c>
      <c r="C279" s="14">
        <v>4249012.0</v>
      </c>
      <c r="D279" s="7">
        <v>5322141.0</v>
      </c>
      <c r="E279" s="7">
        <v>303074.0</v>
      </c>
      <c r="F279" s="7">
        <v>9373627.0</v>
      </c>
      <c r="G279" s="7">
        <v>9308769.0</v>
      </c>
      <c r="J279" s="14">
        <v>220438.0</v>
      </c>
      <c r="K279" s="14">
        <v>1.5898843E7</v>
      </c>
      <c r="L279" s="7">
        <v>8162611.0</v>
      </c>
      <c r="M279" s="7">
        <v>110874.0</v>
      </c>
      <c r="O279" s="10">
        <f t="shared" si="23"/>
        <v>53469407</v>
      </c>
      <c r="P279" s="12">
        <f t="shared" si="24"/>
        <v>1</v>
      </c>
    </row>
    <row r="280">
      <c r="A280" s="5" t="s">
        <v>31</v>
      </c>
      <c r="B280" s="7">
        <v>468016.0</v>
      </c>
      <c r="C280" s="14">
        <v>3824110.0</v>
      </c>
      <c r="D280" s="7">
        <v>4789927.0</v>
      </c>
      <c r="E280" s="7">
        <v>272766.0</v>
      </c>
      <c r="F280" s="7">
        <v>8436264.0</v>
      </c>
      <c r="G280" s="7">
        <v>8377892.0</v>
      </c>
      <c r="J280" s="14">
        <v>198395.0</v>
      </c>
      <c r="K280" s="14">
        <v>1.4308959E7</v>
      </c>
      <c r="L280" s="7">
        <v>7346350.0</v>
      </c>
      <c r="M280" s="7">
        <v>99787.0</v>
      </c>
      <c r="O280" s="10">
        <f t="shared" si="23"/>
        <v>48122466</v>
      </c>
      <c r="P280" s="12">
        <f t="shared" si="24"/>
        <v>0.8999999944</v>
      </c>
    </row>
    <row r="281">
      <c r="A281" s="5" t="s">
        <v>32</v>
      </c>
      <c r="B281" s="7">
        <v>520018.0</v>
      </c>
      <c r="C281" s="14">
        <v>4249012.0</v>
      </c>
      <c r="D281" s="7">
        <v>5322141.0</v>
      </c>
      <c r="E281" s="7">
        <v>303074.0</v>
      </c>
      <c r="F281" s="7">
        <v>9373627.0</v>
      </c>
      <c r="G281" s="7">
        <v>9308769.0</v>
      </c>
      <c r="J281" s="14">
        <v>220438.0</v>
      </c>
      <c r="K281" s="14">
        <v>1.5898843E7</v>
      </c>
      <c r="L281" s="7">
        <v>8162611.0</v>
      </c>
      <c r="M281" s="7">
        <v>110874.0</v>
      </c>
      <c r="O281" s="10">
        <f t="shared" si="23"/>
        <v>53469407</v>
      </c>
      <c r="P281" s="12">
        <f t="shared" si="24"/>
        <v>1</v>
      </c>
    </row>
    <row r="282">
      <c r="A282" s="4" t="s">
        <v>33</v>
      </c>
      <c r="B282" s="7">
        <v>520018.0</v>
      </c>
      <c r="C282" s="14">
        <v>4249012.0</v>
      </c>
      <c r="D282" s="7">
        <v>5322141.0</v>
      </c>
      <c r="E282" s="7">
        <v>303074.0</v>
      </c>
      <c r="F282" s="7">
        <v>9273354.0</v>
      </c>
      <c r="G282" s="7">
        <v>9308769.0</v>
      </c>
      <c r="J282" s="14">
        <v>220438.0</v>
      </c>
      <c r="K282" s="14">
        <v>1.5898843E7</v>
      </c>
      <c r="L282" s="7">
        <v>8162611.0</v>
      </c>
      <c r="M282" s="7">
        <v>110874.0</v>
      </c>
      <c r="O282" s="10">
        <f t="shared" si="23"/>
        <v>53369134</v>
      </c>
      <c r="P282" s="12">
        <f t="shared" si="24"/>
        <v>0.9981246659</v>
      </c>
    </row>
    <row r="283">
      <c r="A283" s="5" t="s">
        <v>34</v>
      </c>
      <c r="B283" s="7">
        <v>520018.0</v>
      </c>
      <c r="C283" s="14">
        <v>4249012.0</v>
      </c>
      <c r="D283" s="7">
        <v>5322141.0</v>
      </c>
      <c r="E283" s="7">
        <v>303074.0</v>
      </c>
      <c r="F283" s="7">
        <v>9373627.0</v>
      </c>
      <c r="G283" s="7">
        <v>9308769.0</v>
      </c>
      <c r="J283" s="14">
        <v>220438.0</v>
      </c>
      <c r="K283" s="14">
        <v>1.5898843E7</v>
      </c>
      <c r="L283" s="7">
        <v>8162611.0</v>
      </c>
      <c r="M283" s="7">
        <v>110874.0</v>
      </c>
      <c r="O283" s="10">
        <f t="shared" si="23"/>
        <v>53469407</v>
      </c>
      <c r="P283" s="12">
        <f t="shared" si="24"/>
        <v>1</v>
      </c>
    </row>
    <row r="284">
      <c r="A284" s="5" t="s">
        <v>35</v>
      </c>
      <c r="B284" s="7">
        <v>416014.0</v>
      </c>
      <c r="C284" s="14">
        <v>3399209.0</v>
      </c>
      <c r="D284" s="7">
        <v>4257713.0</v>
      </c>
      <c r="E284" s="7">
        <v>242459.0</v>
      </c>
      <c r="F284" s="7">
        <v>7498901.0</v>
      </c>
      <c r="G284" s="7">
        <v>7447015.0</v>
      </c>
      <c r="J284" s="14">
        <v>176351.0</v>
      </c>
      <c r="K284" s="14">
        <v>1.2719075E7</v>
      </c>
      <c r="L284" s="7">
        <v>6530089.0</v>
      </c>
      <c r="M284" s="7">
        <v>88699.0</v>
      </c>
      <c r="O284" s="10">
        <f t="shared" si="23"/>
        <v>42775525</v>
      </c>
      <c r="P284" s="12">
        <f t="shared" si="24"/>
        <v>0.7999999888</v>
      </c>
    </row>
    <row r="285">
      <c r="A285" s="5" t="s">
        <v>36</v>
      </c>
      <c r="B285" s="7">
        <v>520018.0</v>
      </c>
      <c r="C285" s="14">
        <v>4249012.0</v>
      </c>
      <c r="D285" s="7">
        <v>5322141.0</v>
      </c>
      <c r="E285" s="7">
        <v>303074.0</v>
      </c>
      <c r="F285" s="7">
        <v>9373627.0</v>
      </c>
      <c r="G285" s="7">
        <v>9308769.0</v>
      </c>
      <c r="J285" s="14">
        <v>220438.0</v>
      </c>
      <c r="K285" s="14">
        <v>1.5898843E7</v>
      </c>
      <c r="L285" s="7">
        <v>8162611.0</v>
      </c>
      <c r="M285" s="7">
        <v>110874.0</v>
      </c>
      <c r="O285" s="10">
        <f t="shared" si="23"/>
        <v>53469407</v>
      </c>
      <c r="P285" s="12">
        <f t="shared" si="24"/>
        <v>1</v>
      </c>
    </row>
    <row r="286">
      <c r="A286" s="4" t="s">
        <v>37</v>
      </c>
      <c r="B286" s="7">
        <v>520018.0</v>
      </c>
      <c r="C286" s="14">
        <v>4249012.0</v>
      </c>
      <c r="D286" s="7">
        <v>5322141.0</v>
      </c>
      <c r="E286" s="7">
        <v>303074.0</v>
      </c>
      <c r="F286" s="7">
        <v>9273354.0</v>
      </c>
      <c r="G286" s="7">
        <v>9308769.0</v>
      </c>
      <c r="J286" s="14">
        <v>220438.0</v>
      </c>
      <c r="K286" s="14">
        <v>1.5898843E7</v>
      </c>
      <c r="L286" s="7">
        <v>8162611.0</v>
      </c>
      <c r="M286" s="7">
        <v>110874.0</v>
      </c>
      <c r="O286" s="10">
        <f t="shared" si="23"/>
        <v>53369134</v>
      </c>
      <c r="P286" s="12">
        <f t="shared" si="24"/>
        <v>0.9981246659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3" width="16.0"/>
    <col customWidth="1" min="4" max="4" width="18.29"/>
    <col customWidth="1" min="5" max="5" width="16.0"/>
    <col customWidth="1" min="6" max="6" width="16.14"/>
    <col customWidth="1" min="7" max="7" width="16.0"/>
    <col customWidth="1" min="8" max="8" width="13.43"/>
    <col customWidth="1" min="9" max="9" width="17.14"/>
    <col customWidth="1" min="10" max="10" width="15.43"/>
    <col customWidth="1" min="11" max="11" width="17.57"/>
    <col customWidth="1" min="12" max="12" width="16.71"/>
    <col customWidth="1" min="13" max="13" width="18.43"/>
    <col customWidth="1" min="14" max="19" width="10.71"/>
    <col customWidth="1" min="20" max="20" width="17.86"/>
    <col customWidth="1" min="21" max="21" width="17.14"/>
    <col customWidth="1" min="22" max="23" width="16.0"/>
    <col customWidth="1" min="24" max="24" width="10.71"/>
    <col customWidth="1" min="25" max="26" width="16.0"/>
  </cols>
  <sheetData>
    <row r="1" ht="14.25" customHeight="1">
      <c r="A1" s="3" t="s">
        <v>3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/>
      <c r="H1" s="6" t="s">
        <v>11</v>
      </c>
      <c r="I1" s="6" t="s">
        <v>12</v>
      </c>
      <c r="J1" s="9" t="s">
        <v>13</v>
      </c>
      <c r="K1" s="9" t="s">
        <v>14</v>
      </c>
      <c r="L1" s="6"/>
      <c r="M1" s="6" t="s">
        <v>4</v>
      </c>
      <c r="N1" s="11" t="s">
        <v>15</v>
      </c>
      <c r="O1" s="11" t="s">
        <v>16</v>
      </c>
      <c r="P1" s="11" t="s">
        <v>17</v>
      </c>
    </row>
    <row r="2" ht="14.25" customHeight="1">
      <c r="A2" s="13" t="s">
        <v>5</v>
      </c>
      <c r="B2" s="15">
        <v>745983.2614888255</v>
      </c>
      <c r="C2" s="15">
        <v>1583630.8869098343</v>
      </c>
      <c r="D2" s="15">
        <v>464600.7367479363</v>
      </c>
      <c r="E2" s="15">
        <v>1127053.623850904</v>
      </c>
      <c r="F2" s="15"/>
      <c r="G2" s="15"/>
      <c r="H2" s="15">
        <v>102515.26783703</v>
      </c>
      <c r="I2" s="15">
        <v>1803386.6551208918</v>
      </c>
      <c r="J2" s="15">
        <v>164980.9475953566</v>
      </c>
      <c r="K2" s="15">
        <v>2985589.5768197197</v>
      </c>
      <c r="M2" s="15">
        <f t="shared" ref="M2:M19" si="1">SUM(B2:L2)</f>
        <v>8977740.956</v>
      </c>
      <c r="N2" s="16">
        <f t="shared" ref="N2:N19" si="2">M2/SUM($M$2:$M$19)</f>
        <v>0.05907972368</v>
      </c>
      <c r="O2" s="16">
        <f t="shared" ref="O2:O19" si="3">N2/$N$2</f>
        <v>1</v>
      </c>
      <c r="P2" s="17" t="s">
        <v>5</v>
      </c>
    </row>
    <row r="3" ht="14.25" customHeight="1">
      <c r="A3" s="18" t="s">
        <v>18</v>
      </c>
      <c r="B3" s="15">
        <v>745983.2614888255</v>
      </c>
      <c r="C3" s="15">
        <v>1583630.8869098343</v>
      </c>
      <c r="D3" s="15">
        <v>464600.7367479363</v>
      </c>
      <c r="E3" s="15">
        <v>1127053.623850904</v>
      </c>
      <c r="F3" s="15"/>
      <c r="G3" s="15"/>
      <c r="H3" s="15">
        <v>102515.26783703</v>
      </c>
      <c r="I3" s="15">
        <v>1803386.6551208918</v>
      </c>
      <c r="J3" s="15">
        <v>164980.9475953566</v>
      </c>
      <c r="K3" s="15">
        <v>2985589.5768197197</v>
      </c>
      <c r="M3" s="15">
        <f t="shared" si="1"/>
        <v>8977740.956</v>
      </c>
      <c r="N3" s="16">
        <f t="shared" si="2"/>
        <v>0.05907972368</v>
      </c>
      <c r="O3" s="16">
        <f t="shared" si="3"/>
        <v>1</v>
      </c>
      <c r="P3" s="19" t="s">
        <v>18</v>
      </c>
    </row>
    <row r="4" ht="14.25" customHeight="1">
      <c r="A4" s="13" t="s">
        <v>20</v>
      </c>
      <c r="B4" s="15">
        <v>745983.2614888255</v>
      </c>
      <c r="C4" s="15">
        <v>1583630.8869098343</v>
      </c>
      <c r="D4" s="15">
        <v>464600.7367479363</v>
      </c>
      <c r="E4" s="15">
        <v>1127053.623850904</v>
      </c>
      <c r="F4" s="15"/>
      <c r="G4" s="15"/>
      <c r="H4" s="15">
        <v>102515.26783703</v>
      </c>
      <c r="I4" s="15">
        <v>1803386.6551208918</v>
      </c>
      <c r="J4" s="15">
        <v>164980.9475953566</v>
      </c>
      <c r="K4" s="15">
        <v>2985589.5768197197</v>
      </c>
      <c r="M4" s="15">
        <f t="shared" si="1"/>
        <v>8977740.956</v>
      </c>
      <c r="N4" s="16">
        <f t="shared" si="2"/>
        <v>0.05907972368</v>
      </c>
      <c r="O4" s="16">
        <f t="shared" si="3"/>
        <v>1</v>
      </c>
      <c r="P4" s="17" t="s">
        <v>20</v>
      </c>
    </row>
    <row r="5" ht="14.25" customHeight="1">
      <c r="A5" s="18" t="s">
        <v>21</v>
      </c>
      <c r="B5" s="15">
        <v>474107.8384361647</v>
      </c>
      <c r="C5" s="15">
        <v>1008168.4587633017</v>
      </c>
      <c r="D5" s="15">
        <v>397520.1855573992</v>
      </c>
      <c r="E5" s="15">
        <v>1147709.3228519377</v>
      </c>
      <c r="F5" s="15"/>
      <c r="G5" s="15"/>
      <c r="H5" s="15">
        <v>94356.30924744411</v>
      </c>
      <c r="I5" s="15">
        <v>1798947.7762377227</v>
      </c>
      <c r="J5" s="15">
        <v>164980.9475953566</v>
      </c>
      <c r="K5" s="15">
        <v>2976993.2662456185</v>
      </c>
      <c r="M5" s="15">
        <f t="shared" si="1"/>
        <v>8062784.105</v>
      </c>
      <c r="N5" s="16">
        <f t="shared" si="2"/>
        <v>0.05305867693</v>
      </c>
      <c r="O5" s="16">
        <f t="shared" si="3"/>
        <v>0.8980860713</v>
      </c>
      <c r="P5" s="19" t="s">
        <v>21</v>
      </c>
    </row>
    <row r="6" ht="14.25" customHeight="1">
      <c r="A6" s="13" t="s">
        <v>22</v>
      </c>
      <c r="B6" s="15">
        <v>653200.8033303423</v>
      </c>
      <c r="C6" s="15">
        <v>1378432.1973881386</v>
      </c>
      <c r="D6" s="15">
        <v>354321.7356049439</v>
      </c>
      <c r="E6" s="15">
        <v>855930.8383169812</v>
      </c>
      <c r="F6" s="15"/>
      <c r="G6" s="15"/>
      <c r="H6" s="15">
        <v>76024.447931604</v>
      </c>
      <c r="I6" s="15">
        <v>1311519.6073208007</v>
      </c>
      <c r="J6" s="15">
        <v>117843.53399668328</v>
      </c>
      <c r="K6" s="15">
        <v>2412214.201766131</v>
      </c>
      <c r="M6" s="15">
        <f t="shared" si="1"/>
        <v>7159487.366</v>
      </c>
      <c r="N6" s="16">
        <f t="shared" si="2"/>
        <v>0.04711436176</v>
      </c>
      <c r="O6" s="16">
        <f t="shared" si="3"/>
        <v>0.7974709229</v>
      </c>
      <c r="P6" s="17" t="s">
        <v>22</v>
      </c>
    </row>
    <row r="7" ht="14.25" customHeight="1">
      <c r="A7" s="18" t="s">
        <v>23</v>
      </c>
      <c r="B7" s="15">
        <v>745983.2614888255</v>
      </c>
      <c r="C7" s="15">
        <v>1583630.8869098343</v>
      </c>
      <c r="D7" s="15">
        <v>464600.7367479363</v>
      </c>
      <c r="E7" s="15">
        <v>1127053.623850904</v>
      </c>
      <c r="F7" s="15"/>
      <c r="G7" s="15"/>
      <c r="H7" s="15">
        <v>102515.26783703</v>
      </c>
      <c r="I7" s="15">
        <v>1803386.6551208918</v>
      </c>
      <c r="J7" s="15">
        <v>164980.9475953566</v>
      </c>
      <c r="K7" s="15">
        <v>2985589.5768197197</v>
      </c>
      <c r="M7" s="15">
        <f t="shared" si="1"/>
        <v>8977740.956</v>
      </c>
      <c r="N7" s="16">
        <f t="shared" si="2"/>
        <v>0.05907972368</v>
      </c>
      <c r="O7" s="16">
        <f t="shared" si="3"/>
        <v>1</v>
      </c>
      <c r="P7" s="19" t="s">
        <v>23</v>
      </c>
    </row>
    <row r="8" ht="14.25" customHeight="1">
      <c r="A8" s="13" t="s">
        <v>24</v>
      </c>
      <c r="B8" s="15">
        <v>541846.7614815377</v>
      </c>
      <c r="C8" s="15">
        <v>1150951.3205574602</v>
      </c>
      <c r="D8" s="15">
        <v>345093.1854912286</v>
      </c>
      <c r="E8" s="15">
        <v>820974.2026163787</v>
      </c>
      <c r="F8" s="15"/>
      <c r="G8" s="15"/>
      <c r="H8" s="15">
        <v>73556.90271467535</v>
      </c>
      <c r="I8" s="15">
        <v>1304370.1803714805</v>
      </c>
      <c r="J8" s="15">
        <v>117843.53399668328</v>
      </c>
      <c r="K8" s="15">
        <v>2157223.026310957</v>
      </c>
      <c r="M8" s="15">
        <f t="shared" si="1"/>
        <v>6511859.114</v>
      </c>
      <c r="N8" s="16">
        <f t="shared" si="2"/>
        <v>0.04285252146</v>
      </c>
      <c r="O8" s="16">
        <f t="shared" si="3"/>
        <v>0.7253338167</v>
      </c>
      <c r="P8" s="19" t="s">
        <v>24</v>
      </c>
    </row>
    <row r="9" ht="14.25" customHeight="1">
      <c r="A9" s="18" t="s">
        <v>25</v>
      </c>
      <c r="B9" s="15">
        <v>745983.2614888255</v>
      </c>
      <c r="C9" s="15">
        <v>1583630.8869098343</v>
      </c>
      <c r="D9" s="15">
        <v>464600.7367479363</v>
      </c>
      <c r="E9" s="15">
        <v>1127053.623850904</v>
      </c>
      <c r="F9" s="15"/>
      <c r="G9" s="15"/>
      <c r="H9" s="15">
        <v>102515.26783703</v>
      </c>
      <c r="I9" s="15">
        <v>1803386.6551208918</v>
      </c>
      <c r="J9" s="15">
        <v>164980.9475953566</v>
      </c>
      <c r="K9" s="15">
        <v>2985589.5768197197</v>
      </c>
      <c r="M9" s="15">
        <f t="shared" si="1"/>
        <v>8977740.956</v>
      </c>
      <c r="N9" s="16">
        <f t="shared" si="2"/>
        <v>0.05907972368</v>
      </c>
      <c r="O9" s="16">
        <f t="shared" si="3"/>
        <v>1</v>
      </c>
      <c r="P9" s="19" t="s">
        <v>25</v>
      </c>
    </row>
    <row r="10" ht="14.25" customHeight="1">
      <c r="A10" s="13" t="s">
        <v>26</v>
      </c>
      <c r="B10" s="15">
        <v>745983.2614888255</v>
      </c>
      <c r="C10" s="15">
        <v>1583630.8869098343</v>
      </c>
      <c r="D10" s="15">
        <v>464600.7367479363</v>
      </c>
      <c r="E10" s="15">
        <v>1127053.623850904</v>
      </c>
      <c r="F10" s="15"/>
      <c r="G10" s="15"/>
      <c r="H10" s="15">
        <v>102515.26783703</v>
      </c>
      <c r="I10" s="15">
        <v>1803386.6551208918</v>
      </c>
      <c r="J10" s="15">
        <v>164980.9475953566</v>
      </c>
      <c r="K10" s="15">
        <v>2985589.5768197197</v>
      </c>
      <c r="M10" s="15">
        <f t="shared" si="1"/>
        <v>8977740.956</v>
      </c>
      <c r="N10" s="16">
        <f t="shared" si="2"/>
        <v>0.05907972368</v>
      </c>
      <c r="O10" s="16">
        <f t="shared" si="3"/>
        <v>1</v>
      </c>
      <c r="P10" s="17" t="s">
        <v>26</v>
      </c>
    </row>
    <row r="11" ht="14.25" customHeight="1">
      <c r="A11" s="18" t="s">
        <v>27</v>
      </c>
      <c r="B11" s="15">
        <v>745983.2614888255</v>
      </c>
      <c r="C11" s="15">
        <v>1583630.8869098343</v>
      </c>
      <c r="D11" s="15">
        <v>464600.7367479363</v>
      </c>
      <c r="E11" s="15">
        <v>1127053.623850904</v>
      </c>
      <c r="F11" s="15"/>
      <c r="G11" s="15"/>
      <c r="H11" s="15">
        <v>102515.26783703</v>
      </c>
      <c r="I11" s="15">
        <v>1803386.6551208918</v>
      </c>
      <c r="J11" s="15">
        <v>164980.9475953566</v>
      </c>
      <c r="K11" s="15">
        <v>2985589.5768197197</v>
      </c>
      <c r="M11" s="15">
        <f t="shared" si="1"/>
        <v>8977740.956</v>
      </c>
      <c r="N11" s="16">
        <f t="shared" si="2"/>
        <v>0.05907972368</v>
      </c>
      <c r="O11" s="16">
        <f t="shared" si="3"/>
        <v>1</v>
      </c>
      <c r="P11" s="19" t="s">
        <v>27</v>
      </c>
    </row>
    <row r="12" ht="14.25" customHeight="1">
      <c r="A12" s="13" t="s">
        <v>28</v>
      </c>
      <c r="B12" s="15">
        <v>564601.7502953275</v>
      </c>
      <c r="C12" s="15">
        <v>1206686.0143144503</v>
      </c>
      <c r="D12" s="15">
        <v>339135.2437685242</v>
      </c>
      <c r="E12" s="15">
        <v>848859.2532034939</v>
      </c>
      <c r="F12" s="15"/>
      <c r="G12" s="15"/>
      <c r="H12" s="15">
        <v>95126.73452783181</v>
      </c>
      <c r="I12" s="15">
        <v>1347665.9875759473</v>
      </c>
      <c r="J12" s="15">
        <v>164980.9475953566</v>
      </c>
      <c r="K12" s="15">
        <v>2550034.3669618387</v>
      </c>
      <c r="M12" s="15">
        <f t="shared" si="1"/>
        <v>7117090.298</v>
      </c>
      <c r="N12" s="16">
        <f t="shared" si="2"/>
        <v>0.04683535983</v>
      </c>
      <c r="O12" s="16">
        <f t="shared" si="3"/>
        <v>0.7927484579</v>
      </c>
      <c r="P12" s="17" t="s">
        <v>28</v>
      </c>
    </row>
    <row r="13" ht="14.25" customHeight="1">
      <c r="A13" s="18" t="s">
        <v>29</v>
      </c>
      <c r="B13" s="15">
        <v>745983.2614888255</v>
      </c>
      <c r="C13" s="15">
        <v>1583630.8869098343</v>
      </c>
      <c r="D13" s="15">
        <v>464600.7367479363</v>
      </c>
      <c r="E13" s="15">
        <v>1127053.623850904</v>
      </c>
      <c r="F13" s="15"/>
      <c r="G13" s="15"/>
      <c r="H13" s="15">
        <v>102515.26783703</v>
      </c>
      <c r="I13" s="15">
        <v>1803386.6551208918</v>
      </c>
      <c r="J13" s="15">
        <v>164980.9475953566</v>
      </c>
      <c r="K13" s="15">
        <v>2985589.5768197197</v>
      </c>
      <c r="M13" s="15">
        <f t="shared" si="1"/>
        <v>8977740.956</v>
      </c>
      <c r="N13" s="16">
        <f t="shared" si="2"/>
        <v>0.05907972368</v>
      </c>
      <c r="O13" s="16">
        <f t="shared" si="3"/>
        <v>1</v>
      </c>
      <c r="P13" s="19" t="s">
        <v>29</v>
      </c>
    </row>
    <row r="14" ht="14.25" customHeight="1">
      <c r="A14" s="13" t="s">
        <v>30</v>
      </c>
      <c r="B14" s="15">
        <v>745983.2614888255</v>
      </c>
      <c r="C14" s="15">
        <v>1583630.8869098343</v>
      </c>
      <c r="D14" s="15">
        <v>464600.7367479363</v>
      </c>
      <c r="E14" s="15">
        <v>1127053.623850904</v>
      </c>
      <c r="F14" s="15"/>
      <c r="G14" s="15"/>
      <c r="H14" s="15">
        <v>102515.26783703</v>
      </c>
      <c r="I14" s="15">
        <v>1803386.6551208918</v>
      </c>
      <c r="J14" s="15">
        <v>164980.9475953566</v>
      </c>
      <c r="K14" s="15">
        <v>2985589.5768197197</v>
      </c>
      <c r="M14" s="15">
        <f t="shared" si="1"/>
        <v>8977740.956</v>
      </c>
      <c r="N14" s="16">
        <f t="shared" si="2"/>
        <v>0.05907972368</v>
      </c>
      <c r="O14" s="16">
        <f t="shared" si="3"/>
        <v>1</v>
      </c>
      <c r="P14" s="17" t="s">
        <v>30</v>
      </c>
    </row>
    <row r="15" ht="14.25" customHeight="1">
      <c r="A15" s="18" t="s">
        <v>31</v>
      </c>
      <c r="B15" s="15">
        <v>745983.2614888255</v>
      </c>
      <c r="C15" s="15">
        <v>1583630.8869098343</v>
      </c>
      <c r="D15" s="15">
        <v>464600.7367479363</v>
      </c>
      <c r="E15" s="15">
        <v>1127053.623850904</v>
      </c>
      <c r="F15" s="15"/>
      <c r="G15" s="15"/>
      <c r="H15" s="15">
        <v>102515.26783703</v>
      </c>
      <c r="I15" s="15">
        <v>1803386.6551208918</v>
      </c>
      <c r="J15" s="15">
        <v>164980.9475953566</v>
      </c>
      <c r="K15" s="15">
        <v>2985589.5768197197</v>
      </c>
      <c r="M15" s="15">
        <f t="shared" si="1"/>
        <v>8977740.956</v>
      </c>
      <c r="N15" s="16">
        <f t="shared" si="2"/>
        <v>0.05907972368</v>
      </c>
      <c r="O15" s="16">
        <f t="shared" si="3"/>
        <v>1</v>
      </c>
      <c r="P15" s="19" t="s">
        <v>31</v>
      </c>
    </row>
    <row r="16" ht="14.25" customHeight="1">
      <c r="A16" s="13" t="s">
        <v>32</v>
      </c>
      <c r="B16" s="15">
        <v>745983.2614888255</v>
      </c>
      <c r="C16" s="15">
        <v>1583630.8869098343</v>
      </c>
      <c r="D16" s="15">
        <v>464600.7367479363</v>
      </c>
      <c r="E16" s="15">
        <v>1127053.623850904</v>
      </c>
      <c r="F16" s="15"/>
      <c r="G16" s="15"/>
      <c r="H16" s="15">
        <v>102515.26783703</v>
      </c>
      <c r="I16" s="15">
        <v>1803386.6551208918</v>
      </c>
      <c r="J16" s="15">
        <v>164980.9475953566</v>
      </c>
      <c r="K16" s="15">
        <v>2985589.5768197197</v>
      </c>
      <c r="M16" s="15">
        <f t="shared" si="1"/>
        <v>8977740.956</v>
      </c>
      <c r="N16" s="16">
        <f t="shared" si="2"/>
        <v>0.05907972368</v>
      </c>
      <c r="O16" s="16">
        <f t="shared" si="3"/>
        <v>1</v>
      </c>
      <c r="P16" s="17" t="s">
        <v>32</v>
      </c>
    </row>
    <row r="17" ht="14.25" customHeight="1">
      <c r="A17" s="18" t="s">
        <v>34</v>
      </c>
      <c r="B17" s="15">
        <v>745983.2614888255</v>
      </c>
      <c r="C17" s="15">
        <v>1583630.8869098343</v>
      </c>
      <c r="D17" s="15">
        <v>464600.7367479363</v>
      </c>
      <c r="E17" s="15">
        <v>1127053.623850904</v>
      </c>
      <c r="F17" s="15"/>
      <c r="G17" s="15"/>
      <c r="H17" s="15">
        <v>102515.26783703</v>
      </c>
      <c r="I17" s="15">
        <v>1803386.6551208915</v>
      </c>
      <c r="J17" s="15">
        <v>164980.9475953566</v>
      </c>
      <c r="K17" s="15">
        <v>2985589.5768197197</v>
      </c>
      <c r="M17" s="15">
        <f t="shared" si="1"/>
        <v>8977740.956</v>
      </c>
      <c r="N17" s="16">
        <f t="shared" si="2"/>
        <v>0.05907972368</v>
      </c>
      <c r="O17" s="16">
        <f t="shared" si="3"/>
        <v>1</v>
      </c>
      <c r="P17" s="19" t="s">
        <v>34</v>
      </c>
    </row>
    <row r="18" ht="14.25" customHeight="1">
      <c r="A18" s="13" t="s">
        <v>35</v>
      </c>
      <c r="B18" s="15">
        <v>596757.7750342339</v>
      </c>
      <c r="C18" s="15">
        <v>1266904.7095278676</v>
      </c>
      <c r="D18" s="15">
        <v>378260.73658926</v>
      </c>
      <c r="E18" s="15">
        <v>902366.1780641427</v>
      </c>
      <c r="F18" s="15"/>
      <c r="G18" s="15"/>
      <c r="H18" s="15">
        <v>82012.214269624</v>
      </c>
      <c r="I18" s="15">
        <v>1442709.3240967134</v>
      </c>
      <c r="J18" s="15">
        <v>131984.7580762853</v>
      </c>
      <c r="K18" s="15">
        <v>2388471.661455776</v>
      </c>
      <c r="M18" s="15">
        <f t="shared" si="1"/>
        <v>7189467.357</v>
      </c>
      <c r="N18" s="16">
        <f t="shared" si="2"/>
        <v>0.04731165077</v>
      </c>
      <c r="O18" s="16">
        <f t="shared" si="3"/>
        <v>0.800810292</v>
      </c>
      <c r="P18" s="17" t="s">
        <v>35</v>
      </c>
    </row>
    <row r="19" ht="14.25" customHeight="1">
      <c r="A19" s="18" t="s">
        <v>36</v>
      </c>
      <c r="B19" s="15">
        <v>718521.9368564878</v>
      </c>
      <c r="C19" s="15">
        <v>1459779.1603171434</v>
      </c>
      <c r="D19" s="15">
        <v>401406.02521340776</v>
      </c>
      <c r="E19" s="15">
        <v>1073859.7563362292</v>
      </c>
      <c r="F19" s="15"/>
      <c r="G19" s="15"/>
      <c r="H19" s="15">
        <v>99478.11476446077</v>
      </c>
      <c r="I19" s="15">
        <v>1356646.8229466358</v>
      </c>
      <c r="J19" s="15">
        <v>164980.9475953566</v>
      </c>
      <c r="K19" s="15">
        <v>2911513.0354230218</v>
      </c>
      <c r="M19" s="15">
        <f t="shared" si="1"/>
        <v>8186185.799</v>
      </c>
      <c r="N19" s="16">
        <f t="shared" si="2"/>
        <v>0.05387074514</v>
      </c>
      <c r="O19" s="16">
        <f t="shared" si="3"/>
        <v>0.911831366</v>
      </c>
      <c r="P19" s="19" t="s">
        <v>36</v>
      </c>
    </row>
    <row r="20" ht="14.25" customHeight="1">
      <c r="A20" s="13" t="s">
        <v>38</v>
      </c>
      <c r="B20" s="20">
        <f t="shared" ref="B20:N20" si="4">SUM(B2:B19)</f>
        <v>12500836</v>
      </c>
      <c r="C20" s="20">
        <f t="shared" si="4"/>
        <v>26474492.5</v>
      </c>
      <c r="D20" s="20">
        <f t="shared" si="4"/>
        <v>7790945.953</v>
      </c>
      <c r="E20" s="20">
        <f t="shared" si="4"/>
        <v>19174343.04</v>
      </c>
      <c r="F20" s="20">
        <f t="shared" si="4"/>
        <v>0</v>
      </c>
      <c r="G20" s="20">
        <f t="shared" si="4"/>
        <v>0</v>
      </c>
      <c r="H20" s="20">
        <f t="shared" si="4"/>
        <v>1750737.938</v>
      </c>
      <c r="I20" s="20">
        <f t="shared" si="4"/>
        <v>30202499.56</v>
      </c>
      <c r="J20" s="20">
        <f t="shared" si="4"/>
        <v>2842386.04</v>
      </c>
      <c r="K20" s="20">
        <f t="shared" si="4"/>
        <v>51223524.48</v>
      </c>
      <c r="L20" s="21">
        <f t="shared" si="4"/>
        <v>0</v>
      </c>
      <c r="M20" s="20">
        <f t="shared" si="4"/>
        <v>151959765.5</v>
      </c>
      <c r="N20" s="22">
        <f t="shared" si="4"/>
        <v>1</v>
      </c>
      <c r="P20" s="17"/>
    </row>
    <row r="21" ht="14.25" customHeight="1"/>
    <row r="22" ht="14.25" customHeight="1"/>
    <row r="23" ht="14.25" customHeight="1">
      <c r="A23" s="3" t="s">
        <v>3</v>
      </c>
      <c r="B23" s="6" t="s">
        <v>39</v>
      </c>
      <c r="C23" s="6" t="s">
        <v>40</v>
      </c>
      <c r="D23" s="6" t="s">
        <v>41</v>
      </c>
      <c r="E23" s="6" t="s">
        <v>42</v>
      </c>
      <c r="F23" s="6" t="s">
        <v>43</v>
      </c>
      <c r="G23" s="6" t="s">
        <v>44</v>
      </c>
      <c r="H23" s="6" t="s">
        <v>45</v>
      </c>
      <c r="I23" s="6" t="s">
        <v>46</v>
      </c>
      <c r="J23" s="9" t="s">
        <v>47</v>
      </c>
      <c r="K23" s="9" t="s">
        <v>48</v>
      </c>
      <c r="L23" s="6"/>
      <c r="M23" s="6" t="s">
        <v>4</v>
      </c>
      <c r="N23" s="11" t="s">
        <v>15</v>
      </c>
      <c r="O23" s="11" t="s">
        <v>16</v>
      </c>
      <c r="P23" s="11" t="s">
        <v>17</v>
      </c>
    </row>
    <row r="24" ht="14.25" customHeight="1">
      <c r="A24" s="13" t="s">
        <v>5</v>
      </c>
      <c r="B24" s="15">
        <v>472240.2769959832</v>
      </c>
      <c r="C24" s="15">
        <v>1659869.196102504</v>
      </c>
      <c r="D24" s="15">
        <v>2706373.51798282</v>
      </c>
      <c r="E24" s="15">
        <v>1398561.446760811</v>
      </c>
      <c r="F24" s="15">
        <v>68863.4613709893</v>
      </c>
      <c r="G24" s="15">
        <v>448001.1478366455</v>
      </c>
      <c r="H24" s="15">
        <v>0.0</v>
      </c>
      <c r="I24" s="15">
        <v>3946566.1952880626</v>
      </c>
      <c r="J24" s="15">
        <v>37038.08366500828</v>
      </c>
      <c r="K24" s="15">
        <v>2590954.9885897646</v>
      </c>
      <c r="M24" s="15">
        <f t="shared" ref="M24:M41" si="5">SUM(B24:L24)</f>
        <v>13328468.31</v>
      </c>
      <c r="N24" s="16">
        <f t="shared" ref="N24:N41" si="6">M24/SUM($M$24:$M$41)</f>
        <v>0.05866538144</v>
      </c>
      <c r="O24" s="16">
        <f t="shared" ref="O24:O41" si="7">N24/$N$24</f>
        <v>1</v>
      </c>
      <c r="P24" s="17" t="s">
        <v>5</v>
      </c>
    </row>
    <row r="25" ht="14.25" customHeight="1">
      <c r="A25" s="18" t="s">
        <v>18</v>
      </c>
      <c r="B25" s="15">
        <v>472240.2769959832</v>
      </c>
      <c r="C25" s="15">
        <v>1659869.196102504</v>
      </c>
      <c r="D25" s="15">
        <v>2706373.51798282</v>
      </c>
      <c r="E25" s="15">
        <v>1398561.446760811</v>
      </c>
      <c r="F25" s="15">
        <v>68863.4613709893</v>
      </c>
      <c r="G25" s="15">
        <v>448001.1478366455</v>
      </c>
      <c r="H25" s="15">
        <v>0.0</v>
      </c>
      <c r="I25" s="15">
        <v>3946566.1952880626</v>
      </c>
      <c r="J25" s="15">
        <v>37038.08366500828</v>
      </c>
      <c r="K25" s="15">
        <v>2590954.9885897646</v>
      </c>
      <c r="M25" s="15">
        <f t="shared" si="5"/>
        <v>13328468.31</v>
      </c>
      <c r="N25" s="16">
        <f t="shared" si="6"/>
        <v>0.05866538144</v>
      </c>
      <c r="O25" s="16">
        <f t="shared" si="7"/>
        <v>1</v>
      </c>
      <c r="P25" s="19" t="s">
        <v>18</v>
      </c>
    </row>
    <row r="26" ht="14.25" customHeight="1">
      <c r="A26" s="13" t="s">
        <v>20</v>
      </c>
      <c r="B26" s="15">
        <v>472240.2769959832</v>
      </c>
      <c r="C26" s="15">
        <v>1659869.196102504</v>
      </c>
      <c r="D26" s="15">
        <v>2706373.51798282</v>
      </c>
      <c r="E26" s="15">
        <v>1398561.446760811</v>
      </c>
      <c r="F26" s="15">
        <v>68863.4613709893</v>
      </c>
      <c r="G26" s="15">
        <v>448001.1478366455</v>
      </c>
      <c r="H26" s="15">
        <v>0.0</v>
      </c>
      <c r="I26" s="15">
        <v>3946566.1952880626</v>
      </c>
      <c r="J26" s="15">
        <v>37038.08366500828</v>
      </c>
      <c r="K26" s="15">
        <v>2590954.9885897646</v>
      </c>
      <c r="M26" s="15">
        <f t="shared" si="5"/>
        <v>13328468.31</v>
      </c>
      <c r="N26" s="16">
        <f t="shared" si="6"/>
        <v>0.05866538144</v>
      </c>
      <c r="O26" s="16">
        <f t="shared" si="7"/>
        <v>1</v>
      </c>
      <c r="P26" s="17" t="s">
        <v>20</v>
      </c>
    </row>
    <row r="27" ht="14.25" customHeight="1">
      <c r="A27" s="18" t="s">
        <v>21</v>
      </c>
      <c r="B27" s="15">
        <v>414843.5390638479</v>
      </c>
      <c r="C27" s="15">
        <v>1653214.790577697</v>
      </c>
      <c r="D27" s="15">
        <v>2700330.683224626</v>
      </c>
      <c r="E27" s="15">
        <v>1398561.446760811</v>
      </c>
      <c r="F27" s="15">
        <v>68863.4613709893</v>
      </c>
      <c r="G27" s="15">
        <v>448001.1478366454</v>
      </c>
      <c r="H27" s="15">
        <v>0.0</v>
      </c>
      <c r="I27" s="15">
        <v>3939140.452740776</v>
      </c>
      <c r="J27" s="15">
        <v>37038.08366500828</v>
      </c>
      <c r="K27" s="15">
        <v>2590954.9885897646</v>
      </c>
      <c r="M27" s="15">
        <f t="shared" si="5"/>
        <v>13250948.59</v>
      </c>
      <c r="N27" s="16">
        <f t="shared" si="6"/>
        <v>0.05832417764</v>
      </c>
      <c r="O27" s="16">
        <f t="shared" si="7"/>
        <v>0.9941838988</v>
      </c>
      <c r="P27" s="19" t="s">
        <v>21</v>
      </c>
    </row>
    <row r="28" ht="14.25" customHeight="1">
      <c r="A28" s="13" t="s">
        <v>22</v>
      </c>
      <c r="B28" s="15">
        <v>379117.78661398514</v>
      </c>
      <c r="C28" s="15">
        <v>1228723.4173865141</v>
      </c>
      <c r="D28" s="15">
        <v>1975072.892334639</v>
      </c>
      <c r="E28" s="15">
        <v>1018035.353850475</v>
      </c>
      <c r="F28" s="15">
        <v>49188.18669356378</v>
      </c>
      <c r="G28" s="15">
        <v>320000.81988331827</v>
      </c>
      <c r="H28" s="15">
        <v>0.0</v>
      </c>
      <c r="I28" s="15">
        <v>2822158.668526114</v>
      </c>
      <c r="J28" s="15">
        <v>26455.774046434486</v>
      </c>
      <c r="K28" s="15">
        <v>1851223.7851838258</v>
      </c>
      <c r="M28" s="15">
        <f t="shared" si="5"/>
        <v>9669976.685</v>
      </c>
      <c r="N28" s="16">
        <f t="shared" si="6"/>
        <v>0.04256249535</v>
      </c>
      <c r="O28" s="16">
        <f t="shared" si="7"/>
        <v>0.7255129739</v>
      </c>
      <c r="P28" s="17" t="s">
        <v>22</v>
      </c>
    </row>
    <row r="29" ht="14.25" customHeight="1">
      <c r="A29" s="18" t="s">
        <v>23</v>
      </c>
      <c r="B29" s="15">
        <v>472240.2769959832</v>
      </c>
      <c r="C29" s="15">
        <v>1659869.196102504</v>
      </c>
      <c r="D29" s="15">
        <v>2706373.51798282</v>
      </c>
      <c r="E29" s="15">
        <v>1398561.446760811</v>
      </c>
      <c r="F29" s="15">
        <v>68863.4613709893</v>
      </c>
      <c r="G29" s="15">
        <v>448001.1478366454</v>
      </c>
      <c r="H29" s="15">
        <v>0.0</v>
      </c>
      <c r="I29" s="15">
        <v>3946566.1952880626</v>
      </c>
      <c r="J29" s="15">
        <v>37038.08366500828</v>
      </c>
      <c r="K29" s="15">
        <v>2590954.9885897646</v>
      </c>
      <c r="M29" s="15">
        <f t="shared" si="5"/>
        <v>13328468.31</v>
      </c>
      <c r="N29" s="16">
        <f t="shared" si="6"/>
        <v>0.05866538144</v>
      </c>
      <c r="O29" s="16">
        <f t="shared" si="7"/>
        <v>1</v>
      </c>
      <c r="P29" s="19" t="s">
        <v>23</v>
      </c>
    </row>
    <row r="30" ht="14.25" customHeight="1">
      <c r="A30" s="13" t="s">
        <v>24</v>
      </c>
      <c r="B30" s="15">
        <v>342083.1078989631</v>
      </c>
      <c r="C30" s="15">
        <v>1205588.5224406715</v>
      </c>
      <c r="D30" s="15">
        <v>1969697.2525348868</v>
      </c>
      <c r="E30" s="15">
        <v>1006871.2862986173</v>
      </c>
      <c r="F30" s="15">
        <v>49188.18669356378</v>
      </c>
      <c r="G30" s="15">
        <v>320000.8198833182</v>
      </c>
      <c r="H30" s="15">
        <v>0.0</v>
      </c>
      <c r="I30" s="15">
        <v>2820153.7180383466</v>
      </c>
      <c r="J30" s="15">
        <v>26455.774046434486</v>
      </c>
      <c r="K30" s="15">
        <v>1851210.4977800357</v>
      </c>
      <c r="M30" s="15">
        <f t="shared" si="5"/>
        <v>9591249.166</v>
      </c>
      <c r="N30" s="16">
        <f t="shared" si="6"/>
        <v>0.04221597542</v>
      </c>
      <c r="O30" s="16">
        <f t="shared" si="7"/>
        <v>0.7196062548</v>
      </c>
      <c r="P30" s="19" t="s">
        <v>24</v>
      </c>
    </row>
    <row r="31" ht="14.25" customHeight="1">
      <c r="A31" s="18" t="s">
        <v>25</v>
      </c>
      <c r="B31" s="15">
        <v>472240.2769959832</v>
      </c>
      <c r="C31" s="15">
        <v>1659869.1961025037</v>
      </c>
      <c r="D31" s="15">
        <v>2706373.51798282</v>
      </c>
      <c r="E31" s="15">
        <v>1398561.446760811</v>
      </c>
      <c r="F31" s="15">
        <v>68863.4613709893</v>
      </c>
      <c r="G31" s="15">
        <v>448001.1478366455</v>
      </c>
      <c r="H31" s="15">
        <v>0.0</v>
      </c>
      <c r="I31" s="15">
        <v>3946566.1952880626</v>
      </c>
      <c r="J31" s="15">
        <v>37038.08366500828</v>
      </c>
      <c r="K31" s="15">
        <v>2590954.9885897646</v>
      </c>
      <c r="M31" s="15">
        <f t="shared" si="5"/>
        <v>13328468.31</v>
      </c>
      <c r="N31" s="16">
        <f t="shared" si="6"/>
        <v>0.05866538144</v>
      </c>
      <c r="O31" s="16">
        <f t="shared" si="7"/>
        <v>1</v>
      </c>
      <c r="P31" s="19" t="s">
        <v>25</v>
      </c>
    </row>
    <row r="32" ht="14.25" customHeight="1">
      <c r="A32" s="13" t="s">
        <v>26</v>
      </c>
      <c r="B32" s="15">
        <v>472240.2769959832</v>
      </c>
      <c r="C32" s="15">
        <v>1659869.196102504</v>
      </c>
      <c r="D32" s="15">
        <v>2706373.51798282</v>
      </c>
      <c r="E32" s="15">
        <v>1398561.446760811</v>
      </c>
      <c r="F32" s="15">
        <v>68863.4613709893</v>
      </c>
      <c r="G32" s="15">
        <v>448001.1478366455</v>
      </c>
      <c r="H32" s="15">
        <v>0.0</v>
      </c>
      <c r="I32" s="15">
        <v>3946566.1952880626</v>
      </c>
      <c r="J32" s="15">
        <v>37038.08366500828</v>
      </c>
      <c r="K32" s="15">
        <v>2590954.9885897646</v>
      </c>
      <c r="M32" s="15">
        <f t="shared" si="5"/>
        <v>13328468.31</v>
      </c>
      <c r="N32" s="16">
        <f t="shared" si="6"/>
        <v>0.05866538144</v>
      </c>
      <c r="O32" s="16">
        <f t="shared" si="7"/>
        <v>1</v>
      </c>
      <c r="P32" s="17" t="s">
        <v>26</v>
      </c>
    </row>
    <row r="33" ht="14.25" customHeight="1">
      <c r="A33" s="18" t="s">
        <v>27</v>
      </c>
      <c r="B33" s="15">
        <v>472240.2769959832</v>
      </c>
      <c r="C33" s="15">
        <v>1659869.1961025037</v>
      </c>
      <c r="D33" s="15">
        <v>2706373.51798282</v>
      </c>
      <c r="E33" s="15">
        <v>1398561.446760811</v>
      </c>
      <c r="F33" s="15">
        <v>68863.4613709893</v>
      </c>
      <c r="G33" s="15">
        <v>448001.1478366455</v>
      </c>
      <c r="H33" s="15">
        <v>0.0</v>
      </c>
      <c r="I33" s="15">
        <v>3946566.1952880626</v>
      </c>
      <c r="J33" s="15">
        <v>37038.08366500828</v>
      </c>
      <c r="K33" s="15">
        <v>2590954.9885897646</v>
      </c>
      <c r="M33" s="15">
        <f t="shared" si="5"/>
        <v>13328468.31</v>
      </c>
      <c r="N33" s="16">
        <f t="shared" si="6"/>
        <v>0.05866538144</v>
      </c>
      <c r="O33" s="16">
        <f t="shared" si="7"/>
        <v>1</v>
      </c>
      <c r="P33" s="19" t="s">
        <v>27</v>
      </c>
    </row>
    <row r="34" ht="14.25" customHeight="1">
      <c r="A34" s="13" t="s">
        <v>28</v>
      </c>
      <c r="B34" s="15">
        <v>372244.48842600663</v>
      </c>
      <c r="C34" s="15">
        <v>1312161.4480044718</v>
      </c>
      <c r="D34" s="15">
        <v>2055219.43163909</v>
      </c>
      <c r="E34" s="15">
        <v>1228229.6157514197</v>
      </c>
      <c r="F34" s="15">
        <v>62869.19695712334</v>
      </c>
      <c r="G34" s="15">
        <v>444727.2877510098</v>
      </c>
      <c r="H34" s="15">
        <v>0.0</v>
      </c>
      <c r="I34" s="15">
        <v>3902234.6736646807</v>
      </c>
      <c r="J34" s="15">
        <v>37038.08366500828</v>
      </c>
      <c r="K34" s="15">
        <v>2579137.906548504</v>
      </c>
      <c r="M34" s="15">
        <f t="shared" si="5"/>
        <v>11993862.13</v>
      </c>
      <c r="N34" s="16">
        <f t="shared" si="6"/>
        <v>0.05279109949</v>
      </c>
      <c r="O34" s="16">
        <f t="shared" si="7"/>
        <v>0.8998680005</v>
      </c>
      <c r="P34" s="17" t="s">
        <v>28</v>
      </c>
    </row>
    <row r="35" ht="14.25" customHeight="1">
      <c r="A35" s="18" t="s">
        <v>29</v>
      </c>
      <c r="B35" s="15">
        <v>472240.2769959832</v>
      </c>
      <c r="C35" s="15">
        <v>1659869.196102504</v>
      </c>
      <c r="D35" s="15">
        <v>2706373.51798282</v>
      </c>
      <c r="E35" s="15">
        <v>1398561.446760811</v>
      </c>
      <c r="F35" s="15">
        <v>68863.4613709893</v>
      </c>
      <c r="G35" s="15">
        <v>448001.1478366454</v>
      </c>
      <c r="H35" s="15">
        <v>0.0</v>
      </c>
      <c r="I35" s="15">
        <v>3946566.1952880626</v>
      </c>
      <c r="J35" s="15">
        <v>37038.08366500828</v>
      </c>
      <c r="K35" s="15">
        <v>2590954.9885897646</v>
      </c>
      <c r="M35" s="15">
        <f t="shared" si="5"/>
        <v>13328468.31</v>
      </c>
      <c r="N35" s="16">
        <f t="shared" si="6"/>
        <v>0.05866538144</v>
      </c>
      <c r="O35" s="16">
        <f t="shared" si="7"/>
        <v>1</v>
      </c>
      <c r="P35" s="19" t="s">
        <v>29</v>
      </c>
    </row>
    <row r="36" ht="14.25" customHeight="1">
      <c r="A36" s="13" t="s">
        <v>30</v>
      </c>
      <c r="B36" s="15">
        <v>472240.2769959832</v>
      </c>
      <c r="C36" s="15">
        <v>1659869.1961025042</v>
      </c>
      <c r="D36" s="15">
        <v>2706373.51798282</v>
      </c>
      <c r="E36" s="15">
        <v>1398561.446760811</v>
      </c>
      <c r="F36" s="15">
        <v>68863.4613709893</v>
      </c>
      <c r="G36" s="15">
        <v>448001.1478366455</v>
      </c>
      <c r="H36" s="15">
        <v>0.0</v>
      </c>
      <c r="I36" s="15">
        <v>3946566.1952880626</v>
      </c>
      <c r="J36" s="15">
        <v>37038.08366500828</v>
      </c>
      <c r="K36" s="15">
        <v>2590954.9885897646</v>
      </c>
      <c r="M36" s="15">
        <f t="shared" si="5"/>
        <v>13328468.31</v>
      </c>
      <c r="N36" s="16">
        <f t="shared" si="6"/>
        <v>0.05866538144</v>
      </c>
      <c r="O36" s="16">
        <f t="shared" si="7"/>
        <v>1</v>
      </c>
      <c r="P36" s="17" t="s">
        <v>30</v>
      </c>
    </row>
    <row r="37" ht="14.25" customHeight="1">
      <c r="A37" s="18" t="s">
        <v>31</v>
      </c>
      <c r="B37" s="15">
        <v>472240.2769959832</v>
      </c>
      <c r="C37" s="15">
        <v>1659869.196102504</v>
      </c>
      <c r="D37" s="15">
        <v>2706373.51798282</v>
      </c>
      <c r="E37" s="15">
        <v>1398561.446760811</v>
      </c>
      <c r="F37" s="15">
        <v>68863.4613709893</v>
      </c>
      <c r="G37" s="15">
        <v>448001.1478366455</v>
      </c>
      <c r="H37" s="15">
        <v>0.0</v>
      </c>
      <c r="I37" s="15">
        <v>3946566.1952880626</v>
      </c>
      <c r="J37" s="15">
        <v>37038.08366500828</v>
      </c>
      <c r="K37" s="15">
        <v>2590954.9885897646</v>
      </c>
      <c r="M37" s="15">
        <f t="shared" si="5"/>
        <v>13328468.31</v>
      </c>
      <c r="N37" s="16">
        <f t="shared" si="6"/>
        <v>0.05866538144</v>
      </c>
      <c r="O37" s="16">
        <f t="shared" si="7"/>
        <v>1</v>
      </c>
      <c r="P37" s="19" t="s">
        <v>31</v>
      </c>
    </row>
    <row r="38" ht="14.25" customHeight="1">
      <c r="A38" s="13" t="s">
        <v>32</v>
      </c>
      <c r="B38" s="15">
        <v>472240.2769959832</v>
      </c>
      <c r="C38" s="15">
        <v>1659869.196102504</v>
      </c>
      <c r="D38" s="15">
        <v>2706373.51798282</v>
      </c>
      <c r="E38" s="15">
        <v>1398561.446760811</v>
      </c>
      <c r="F38" s="15">
        <v>68863.4613709893</v>
      </c>
      <c r="G38" s="15">
        <v>448001.1478366454</v>
      </c>
      <c r="H38" s="15">
        <v>0.0</v>
      </c>
      <c r="I38" s="15">
        <v>3946566.1952880626</v>
      </c>
      <c r="J38" s="15">
        <v>37038.08366500828</v>
      </c>
      <c r="K38" s="15">
        <v>2590954.9885897646</v>
      </c>
      <c r="M38" s="15">
        <f t="shared" si="5"/>
        <v>13328468.31</v>
      </c>
      <c r="N38" s="16">
        <f t="shared" si="6"/>
        <v>0.05866538144</v>
      </c>
      <c r="O38" s="16">
        <f t="shared" si="7"/>
        <v>1</v>
      </c>
      <c r="P38" s="17" t="s">
        <v>32</v>
      </c>
    </row>
    <row r="39" ht="14.25" customHeight="1">
      <c r="A39" s="18" t="s">
        <v>34</v>
      </c>
      <c r="B39" s="15">
        <v>472240.2769959832</v>
      </c>
      <c r="C39" s="15">
        <v>1659869.196102504</v>
      </c>
      <c r="D39" s="15">
        <v>2706373.51798282</v>
      </c>
      <c r="E39" s="15">
        <v>1398561.446760811</v>
      </c>
      <c r="F39" s="15">
        <v>68863.4613709893</v>
      </c>
      <c r="G39" s="15">
        <v>448001.1478366454</v>
      </c>
      <c r="H39" s="15">
        <v>0.0</v>
      </c>
      <c r="I39" s="15">
        <v>3946566.1952880626</v>
      </c>
      <c r="J39" s="15">
        <v>37038.08366500828</v>
      </c>
      <c r="K39" s="15">
        <v>2590954.9885897646</v>
      </c>
      <c r="M39" s="15">
        <f t="shared" si="5"/>
        <v>13328468.31</v>
      </c>
      <c r="N39" s="16">
        <f t="shared" si="6"/>
        <v>0.05866538144</v>
      </c>
      <c r="O39" s="16">
        <f t="shared" si="7"/>
        <v>1</v>
      </c>
      <c r="P39" s="19" t="s">
        <v>34</v>
      </c>
      <c r="V39" s="21">
        <v>0.6667</v>
      </c>
      <c r="W39" s="25">
        <f>V46*V39</f>
        <v>10131522.8</v>
      </c>
    </row>
    <row r="40" ht="14.25" customHeight="1">
      <c r="A40" s="13" t="s">
        <v>35</v>
      </c>
      <c r="B40" s="15">
        <v>377792.2215967866</v>
      </c>
      <c r="C40" s="15">
        <v>1328641.4184132535</v>
      </c>
      <c r="D40" s="15">
        <v>2165058.9776148824</v>
      </c>
      <c r="E40" s="15">
        <v>1118849.1574086486</v>
      </c>
      <c r="F40" s="15">
        <v>55090.76909679144</v>
      </c>
      <c r="G40" s="15">
        <v>358400.91826931643</v>
      </c>
      <c r="H40" s="15">
        <v>0.0</v>
      </c>
      <c r="I40" s="15">
        <v>3157252.9562304504</v>
      </c>
      <c r="J40" s="15">
        <v>29630.466932006624</v>
      </c>
      <c r="K40" s="15">
        <v>2072763.9908718115</v>
      </c>
      <c r="M40" s="15">
        <f t="shared" si="5"/>
        <v>10663480.88</v>
      </c>
      <c r="N40" s="16">
        <f t="shared" si="6"/>
        <v>0.0469354136</v>
      </c>
      <c r="O40" s="16">
        <f t="shared" si="7"/>
        <v>0.8000529862</v>
      </c>
      <c r="P40" s="17" t="s">
        <v>35</v>
      </c>
      <c r="U40" s="25">
        <f>(M42+M64+M86)/3</f>
        <v>277374271.6</v>
      </c>
      <c r="V40" s="26">
        <f>15</f>
        <v>15</v>
      </c>
      <c r="Y40" s="21">
        <v>15.0</v>
      </c>
    </row>
    <row r="41" ht="14.25" customHeight="1">
      <c r="A41" s="18" t="s">
        <v>36</v>
      </c>
      <c r="B41" s="15">
        <v>447486.5928486118</v>
      </c>
      <c r="C41" s="15">
        <v>1384667.6410794966</v>
      </c>
      <c r="D41" s="15">
        <v>1920560.7101579374</v>
      </c>
      <c r="E41" s="15">
        <v>1281687.409000312</v>
      </c>
      <c r="F41" s="15">
        <v>68863.4613709893</v>
      </c>
      <c r="G41" s="15">
        <v>448001.1478366455</v>
      </c>
      <c r="H41" s="15">
        <v>0.0</v>
      </c>
      <c r="I41" s="15">
        <v>3912801.5673430176</v>
      </c>
      <c r="J41" s="15">
        <v>37038.08366500828</v>
      </c>
      <c r="K41" s="15">
        <v>2582534.2079489212</v>
      </c>
      <c r="M41" s="15">
        <f t="shared" si="5"/>
        <v>12083640.82</v>
      </c>
      <c r="N41" s="16">
        <f t="shared" si="6"/>
        <v>0.05318626126</v>
      </c>
      <c r="O41" s="16">
        <f t="shared" si="7"/>
        <v>0.90660386</v>
      </c>
      <c r="P41" s="19" t="s">
        <v>36</v>
      </c>
      <c r="V41" s="26">
        <f>3*0.6667</f>
        <v>2.0001</v>
      </c>
      <c r="Y41" s="26">
        <f>0.7142*2</f>
        <v>1.4284</v>
      </c>
      <c r="Z41" s="25">
        <f>Y41*Y46/2</f>
        <v>11498496.94</v>
      </c>
    </row>
    <row r="42" ht="14.25" customHeight="1">
      <c r="A42" s="13" t="s">
        <v>38</v>
      </c>
      <c r="B42" s="20">
        <f t="shared" ref="B42:N42" si="8">SUM(B24:B41)</f>
        <v>8000451.06</v>
      </c>
      <c r="C42" s="20">
        <f t="shared" si="8"/>
        <v>28031427.59</v>
      </c>
      <c r="D42" s="20">
        <f t="shared" si="8"/>
        <v>45262422.16</v>
      </c>
      <c r="E42" s="20">
        <f t="shared" si="8"/>
        <v>23834971.63</v>
      </c>
      <c r="F42" s="20">
        <f t="shared" si="8"/>
        <v>1180424.799</v>
      </c>
      <c r="G42" s="20">
        <f t="shared" si="8"/>
        <v>7715145.916</v>
      </c>
      <c r="H42" s="20">
        <f t="shared" si="8"/>
        <v>0</v>
      </c>
      <c r="I42" s="20">
        <f t="shared" si="8"/>
        <v>67912536.38</v>
      </c>
      <c r="J42" s="20">
        <f t="shared" si="8"/>
        <v>638113.27</v>
      </c>
      <c r="K42" s="20">
        <f t="shared" si="8"/>
        <v>44619285.24</v>
      </c>
      <c r="L42" s="21">
        <f t="shared" si="8"/>
        <v>0</v>
      </c>
      <c r="M42" s="20">
        <f t="shared" si="8"/>
        <v>227194778</v>
      </c>
      <c r="N42" s="22">
        <f t="shared" si="8"/>
        <v>1</v>
      </c>
      <c r="P42" s="17"/>
      <c r="V42" s="21">
        <v>0.5</v>
      </c>
      <c r="W42" s="25">
        <f>V46*V42</f>
        <v>7598262.184</v>
      </c>
      <c r="Y42" s="21">
        <v>0.8</v>
      </c>
    </row>
    <row r="43" ht="14.25" customHeight="1">
      <c r="V43" s="21">
        <f>0.8-(5/7-4/6)</f>
        <v>0.7523809524</v>
      </c>
      <c r="W43" s="25">
        <f>V46*V43</f>
        <v>11433575.48</v>
      </c>
      <c r="Y43" s="21">
        <f>SUM(Y40:Y42)</f>
        <v>17.2284</v>
      </c>
    </row>
    <row r="44" ht="14.25" customHeight="1">
      <c r="V44" s="21">
        <f>SUM(V40:V43)</f>
        <v>18.25248095</v>
      </c>
    </row>
    <row r="45" ht="14.25" customHeight="1">
      <c r="A45" s="3" t="s">
        <v>3</v>
      </c>
      <c r="B45" s="6" t="s">
        <v>50</v>
      </c>
      <c r="C45" s="6" t="s">
        <v>51</v>
      </c>
      <c r="D45" s="6" t="s">
        <v>52</v>
      </c>
      <c r="E45" s="6" t="s">
        <v>53</v>
      </c>
      <c r="F45" s="6"/>
      <c r="G45" s="6"/>
      <c r="H45" s="6" t="s">
        <v>54</v>
      </c>
      <c r="I45" s="6" t="s">
        <v>55</v>
      </c>
      <c r="J45" s="9" t="s">
        <v>56</v>
      </c>
      <c r="K45" s="9" t="s">
        <v>57</v>
      </c>
      <c r="L45" s="6"/>
      <c r="M45" s="6" t="s">
        <v>4</v>
      </c>
      <c r="N45" s="11" t="s">
        <v>15</v>
      </c>
      <c r="O45" s="11" t="s">
        <v>16</v>
      </c>
      <c r="P45" s="11" t="s">
        <v>17</v>
      </c>
    </row>
    <row r="46" ht="14.25" customHeight="1">
      <c r="A46" s="13" t="s">
        <v>5</v>
      </c>
      <c r="B46" s="25">
        <v>1411169.4209580892</v>
      </c>
      <c r="C46" s="25">
        <v>900999.288526199</v>
      </c>
      <c r="D46" s="25">
        <v>1517193.8412955813</v>
      </c>
      <c r="E46" s="25">
        <v>1783379.985359829</v>
      </c>
      <c r="F46" s="25"/>
      <c r="G46" s="25"/>
      <c r="H46" s="25">
        <v>42572.18905472637</v>
      </c>
      <c r="I46" s="25">
        <v>6825219.462636431</v>
      </c>
      <c r="J46" s="25">
        <v>48411.54668325042</v>
      </c>
      <c r="K46" s="25">
        <v>4175701.5966921505</v>
      </c>
      <c r="L46" s="25"/>
      <c r="M46" s="25">
        <f t="shared" ref="M46:M63" si="9">SUM(B46:L46)</f>
        <v>16704647.33</v>
      </c>
      <c r="N46" s="16">
        <f t="shared" ref="N46:N63" si="10">M46/SUM($M$46:$M$63)</f>
        <v>0.05867311163</v>
      </c>
      <c r="O46" s="16">
        <f t="shared" ref="O46:O63" si="11">N46/$N$46</f>
        <v>1</v>
      </c>
      <c r="P46" s="17" t="s">
        <v>5</v>
      </c>
      <c r="V46" s="25">
        <f>U40/V44</f>
        <v>15196524.37</v>
      </c>
      <c r="Y46" s="25">
        <f>U40/Y43</f>
        <v>16099827.7</v>
      </c>
    </row>
    <row r="47" ht="14.25" customHeight="1">
      <c r="A47" s="18" t="s">
        <v>18</v>
      </c>
      <c r="B47" s="25">
        <v>1411169.4209580892</v>
      </c>
      <c r="C47" s="25">
        <v>900999.288526199</v>
      </c>
      <c r="D47" s="25">
        <v>1517193.8412955813</v>
      </c>
      <c r="E47" s="25">
        <v>1783379.985359829</v>
      </c>
      <c r="F47" s="25"/>
      <c r="G47" s="25"/>
      <c r="H47" s="25">
        <v>42572.18905472637</v>
      </c>
      <c r="I47" s="25">
        <v>6825219.462636431</v>
      </c>
      <c r="J47" s="25">
        <v>48411.54668325042</v>
      </c>
      <c r="K47" s="25">
        <v>4175701.5966921505</v>
      </c>
      <c r="L47" s="25"/>
      <c r="M47" s="25">
        <f t="shared" si="9"/>
        <v>16704647.33</v>
      </c>
      <c r="N47" s="16">
        <f t="shared" si="10"/>
        <v>0.05867311163</v>
      </c>
      <c r="O47" s="16">
        <f t="shared" si="11"/>
        <v>1</v>
      </c>
      <c r="P47" s="19" t="s">
        <v>18</v>
      </c>
    </row>
    <row r="48" ht="14.25" customHeight="1">
      <c r="A48" s="13" t="s">
        <v>20</v>
      </c>
      <c r="B48" s="25">
        <v>1411169.4209580892</v>
      </c>
      <c r="C48" s="25">
        <v>900999.288526199</v>
      </c>
      <c r="D48" s="25">
        <v>1517193.8412955813</v>
      </c>
      <c r="E48" s="25">
        <v>1783379.985359829</v>
      </c>
      <c r="F48" s="25"/>
      <c r="G48" s="25"/>
      <c r="H48" s="25">
        <v>42572.18905472637</v>
      </c>
      <c r="I48" s="25">
        <v>6825219.462636431</v>
      </c>
      <c r="J48" s="25">
        <v>48411.54668325042</v>
      </c>
      <c r="K48" s="25">
        <v>4175701.5966921505</v>
      </c>
      <c r="L48" s="25"/>
      <c r="M48" s="25">
        <f t="shared" si="9"/>
        <v>16704647.33</v>
      </c>
      <c r="N48" s="16">
        <f t="shared" si="10"/>
        <v>0.05867311163</v>
      </c>
      <c r="O48" s="16">
        <f t="shared" si="11"/>
        <v>1</v>
      </c>
      <c r="P48" s="17" t="s">
        <v>20</v>
      </c>
    </row>
    <row r="49" ht="14.25" customHeight="1">
      <c r="A49" s="18" t="s">
        <v>21</v>
      </c>
      <c r="B49" s="25">
        <v>1411169.4209580892</v>
      </c>
      <c r="C49" s="25">
        <v>900999.288526199</v>
      </c>
      <c r="D49" s="25">
        <v>1518051.48644617</v>
      </c>
      <c r="E49" s="25">
        <v>1783379.985359829</v>
      </c>
      <c r="F49" s="25"/>
      <c r="G49" s="25"/>
      <c r="H49" s="25">
        <v>42572.18905472637</v>
      </c>
      <c r="I49" s="25">
        <v>6823428.878425769</v>
      </c>
      <c r="J49" s="25">
        <v>48411.54668325042</v>
      </c>
      <c r="K49" s="25">
        <v>4175701.5966921505</v>
      </c>
      <c r="L49" s="25"/>
      <c r="M49" s="25">
        <f t="shared" si="9"/>
        <v>16703714.39</v>
      </c>
      <c r="N49" s="16">
        <f t="shared" si="10"/>
        <v>0.0586698348</v>
      </c>
      <c r="O49" s="16">
        <f t="shared" si="11"/>
        <v>0.9999441509</v>
      </c>
      <c r="P49" s="19" t="s">
        <v>21</v>
      </c>
    </row>
    <row r="50" ht="14.25" customHeight="1">
      <c r="A50" s="13" t="s">
        <v>22</v>
      </c>
      <c r="B50" s="25">
        <v>1024795.6117314476</v>
      </c>
      <c r="C50" s="25">
        <v>643570.9203758563</v>
      </c>
      <c r="D50" s="25">
        <v>1083890.5657854583</v>
      </c>
      <c r="E50" s="25">
        <v>1276762.796775865</v>
      </c>
      <c r="F50" s="25"/>
      <c r="G50" s="25"/>
      <c r="H50" s="25">
        <v>30408.70646766169</v>
      </c>
      <c r="I50" s="25">
        <v>4928982.350270927</v>
      </c>
      <c r="J50" s="25">
        <v>34579.67620232172</v>
      </c>
      <c r="K50" s="25">
        <v>2982702.63089279</v>
      </c>
      <c r="L50" s="25"/>
      <c r="M50" s="25">
        <f t="shared" si="9"/>
        <v>12005693.26</v>
      </c>
      <c r="N50" s="16">
        <f t="shared" si="10"/>
        <v>0.04216858739</v>
      </c>
      <c r="O50" s="16">
        <f t="shared" si="11"/>
        <v>0.7187037847</v>
      </c>
      <c r="P50" s="17" t="s">
        <v>22</v>
      </c>
    </row>
    <row r="51" ht="14.25" customHeight="1">
      <c r="A51" s="18" t="s">
        <v>23</v>
      </c>
      <c r="B51" s="25">
        <v>1411169.4209580892</v>
      </c>
      <c r="C51" s="25">
        <v>900999.288526199</v>
      </c>
      <c r="D51" s="25">
        <v>1517193.8412955813</v>
      </c>
      <c r="E51" s="25">
        <v>1783379.985359829</v>
      </c>
      <c r="F51" s="25"/>
      <c r="G51" s="25"/>
      <c r="H51" s="25">
        <v>42572.18905472637</v>
      </c>
      <c r="I51" s="25">
        <v>6825219.462636431</v>
      </c>
      <c r="J51" s="25">
        <v>48411.54668325042</v>
      </c>
      <c r="K51" s="25">
        <v>4175701.5966921505</v>
      </c>
      <c r="L51" s="25"/>
      <c r="M51" s="25">
        <f t="shared" si="9"/>
        <v>16704647.33</v>
      </c>
      <c r="N51" s="16">
        <f t="shared" si="10"/>
        <v>0.05867311163</v>
      </c>
      <c r="O51" s="16">
        <f t="shared" si="11"/>
        <v>1</v>
      </c>
      <c r="P51" s="19" t="s">
        <v>23</v>
      </c>
    </row>
    <row r="52" ht="14.25" customHeight="1">
      <c r="A52" s="13" t="s">
        <v>24</v>
      </c>
      <c r="B52" s="25">
        <v>1024795.6117314476</v>
      </c>
      <c r="C52" s="25">
        <v>643570.9203758563</v>
      </c>
      <c r="D52" s="25">
        <v>1084761.5734999059</v>
      </c>
      <c r="E52" s="25">
        <v>1276762.796775865</v>
      </c>
      <c r="F52" s="25"/>
      <c r="G52" s="25"/>
      <c r="H52" s="25">
        <v>30408.70646766169</v>
      </c>
      <c r="I52" s="25">
        <v>4926625.395839201</v>
      </c>
      <c r="J52" s="25">
        <v>34579.67620232172</v>
      </c>
      <c r="K52" s="25">
        <v>2982702.63089279</v>
      </c>
      <c r="L52" s="25"/>
      <c r="M52" s="25">
        <f t="shared" si="9"/>
        <v>12004207.31</v>
      </c>
      <c r="N52" s="16">
        <f t="shared" si="10"/>
        <v>0.04216336818</v>
      </c>
      <c r="O52" s="16">
        <f t="shared" si="11"/>
        <v>0.7186148306</v>
      </c>
      <c r="P52" s="19" t="s">
        <v>24</v>
      </c>
    </row>
    <row r="53" ht="14.25" customHeight="1">
      <c r="A53" s="18" t="s">
        <v>25</v>
      </c>
      <c r="B53" s="25">
        <v>1411169.420958089</v>
      </c>
      <c r="C53" s="25">
        <v>900999.288526199</v>
      </c>
      <c r="D53" s="25">
        <v>1517193.8412955813</v>
      </c>
      <c r="E53" s="25">
        <v>1783379.985359829</v>
      </c>
      <c r="F53" s="25"/>
      <c r="G53" s="25"/>
      <c r="H53" s="25">
        <v>42572.18905472637</v>
      </c>
      <c r="I53" s="25">
        <v>6825219.462636431</v>
      </c>
      <c r="J53" s="25">
        <v>48411.54668325042</v>
      </c>
      <c r="K53" s="25">
        <v>4175701.5966921505</v>
      </c>
      <c r="L53" s="25"/>
      <c r="M53" s="25">
        <f t="shared" si="9"/>
        <v>16704647.33</v>
      </c>
      <c r="N53" s="16">
        <f t="shared" si="10"/>
        <v>0.05867311163</v>
      </c>
      <c r="O53" s="16">
        <f t="shared" si="11"/>
        <v>1</v>
      </c>
      <c r="P53" s="19" t="s">
        <v>25</v>
      </c>
    </row>
    <row r="54" ht="14.25" customHeight="1">
      <c r="A54" s="13" t="s">
        <v>26</v>
      </c>
      <c r="B54" s="25">
        <v>1411169.420958089</v>
      </c>
      <c r="C54" s="25">
        <v>900999.288526199</v>
      </c>
      <c r="D54" s="25">
        <v>1517193.8412955813</v>
      </c>
      <c r="E54" s="25">
        <v>1783379.985359829</v>
      </c>
      <c r="F54" s="25"/>
      <c r="G54" s="25"/>
      <c r="H54" s="25">
        <v>42572.18905472637</v>
      </c>
      <c r="I54" s="25">
        <v>6825219.462636431</v>
      </c>
      <c r="J54" s="25">
        <v>48411.54668325042</v>
      </c>
      <c r="K54" s="25">
        <v>4175701.5966921505</v>
      </c>
      <c r="L54" s="25"/>
      <c r="M54" s="25">
        <f t="shared" si="9"/>
        <v>16704647.33</v>
      </c>
      <c r="N54" s="16">
        <f t="shared" si="10"/>
        <v>0.05867311163</v>
      </c>
      <c r="O54" s="16">
        <f t="shared" si="11"/>
        <v>1</v>
      </c>
      <c r="P54" s="17" t="s">
        <v>26</v>
      </c>
    </row>
    <row r="55" ht="14.25" customHeight="1">
      <c r="A55" s="18" t="s">
        <v>27</v>
      </c>
      <c r="B55" s="25">
        <v>1411169.4209580892</v>
      </c>
      <c r="C55" s="25">
        <v>900999.288526199</v>
      </c>
      <c r="D55" s="25">
        <v>1517193.8412955813</v>
      </c>
      <c r="E55" s="25">
        <v>1783379.985359829</v>
      </c>
      <c r="F55" s="25"/>
      <c r="G55" s="25"/>
      <c r="H55" s="25">
        <v>42572.18905472637</v>
      </c>
      <c r="I55" s="25">
        <v>6825219.462636431</v>
      </c>
      <c r="J55" s="25">
        <v>48411.54668325042</v>
      </c>
      <c r="K55" s="25">
        <v>4175701.5966921505</v>
      </c>
      <c r="L55" s="25"/>
      <c r="M55" s="25">
        <f t="shared" si="9"/>
        <v>16704647.33</v>
      </c>
      <c r="N55" s="16">
        <f t="shared" si="10"/>
        <v>0.05867311163</v>
      </c>
      <c r="O55" s="16">
        <f t="shared" si="11"/>
        <v>1</v>
      </c>
      <c r="P55" s="19" t="s">
        <v>27</v>
      </c>
    </row>
    <row r="56" ht="14.25" customHeight="1">
      <c r="A56" s="13" t="s">
        <v>28</v>
      </c>
      <c r="B56" s="25">
        <v>1111206.6662382921</v>
      </c>
      <c r="C56" s="25">
        <v>899240.6153336315</v>
      </c>
      <c r="D56" s="25">
        <v>1446299.1803891503</v>
      </c>
      <c r="E56" s="25">
        <v>1568390.6974951625</v>
      </c>
      <c r="F56" s="25"/>
      <c r="G56" s="25"/>
      <c r="H56" s="25">
        <v>42572.18905472637</v>
      </c>
      <c r="I56" s="25">
        <v>5690143.0924170865</v>
      </c>
      <c r="J56" s="25">
        <v>48411.54668325042</v>
      </c>
      <c r="K56" s="25">
        <v>4174694.170756061</v>
      </c>
      <c r="L56" s="25"/>
      <c r="M56" s="25">
        <f t="shared" si="9"/>
        <v>14980958.16</v>
      </c>
      <c r="N56" s="16">
        <f t="shared" si="10"/>
        <v>0.05261885588</v>
      </c>
      <c r="O56" s="16">
        <f t="shared" si="11"/>
        <v>0.8968137945</v>
      </c>
      <c r="P56" s="17" t="s">
        <v>28</v>
      </c>
    </row>
    <row r="57" ht="14.25" customHeight="1">
      <c r="A57" s="18" t="s">
        <v>29</v>
      </c>
      <c r="B57" s="25">
        <v>1411169.4209580892</v>
      </c>
      <c r="C57" s="25">
        <v>900999.288526199</v>
      </c>
      <c r="D57" s="25">
        <v>1517193.8412955813</v>
      </c>
      <c r="E57" s="25">
        <v>1783379.985359829</v>
      </c>
      <c r="F57" s="25"/>
      <c r="G57" s="25"/>
      <c r="H57" s="25">
        <v>42572.18905472637</v>
      </c>
      <c r="I57" s="25">
        <v>6825219.462636431</v>
      </c>
      <c r="J57" s="25">
        <v>48411.54668325042</v>
      </c>
      <c r="K57" s="25">
        <v>4175701.5966921505</v>
      </c>
      <c r="L57" s="25"/>
      <c r="M57" s="25">
        <f t="shared" si="9"/>
        <v>16704647.33</v>
      </c>
      <c r="N57" s="16">
        <f t="shared" si="10"/>
        <v>0.05867311163</v>
      </c>
      <c r="O57" s="16">
        <f t="shared" si="11"/>
        <v>1</v>
      </c>
      <c r="P57" s="19" t="s">
        <v>29</v>
      </c>
    </row>
    <row r="58" ht="14.25" customHeight="1">
      <c r="A58" s="13" t="s">
        <v>30</v>
      </c>
      <c r="B58" s="25">
        <v>1411169.4209580892</v>
      </c>
      <c r="C58" s="25">
        <v>900999.288526199</v>
      </c>
      <c r="D58" s="25">
        <v>1517193.8412955813</v>
      </c>
      <c r="E58" s="25">
        <v>1783379.985359829</v>
      </c>
      <c r="F58" s="25"/>
      <c r="G58" s="25"/>
      <c r="H58" s="25">
        <v>42572.18905472637</v>
      </c>
      <c r="I58" s="25">
        <v>6825219.462636431</v>
      </c>
      <c r="J58" s="25">
        <v>48411.54668325042</v>
      </c>
      <c r="K58" s="25">
        <v>4175701.5966921505</v>
      </c>
      <c r="L58" s="25"/>
      <c r="M58" s="25">
        <f t="shared" si="9"/>
        <v>16704647.33</v>
      </c>
      <c r="N58" s="16">
        <f t="shared" si="10"/>
        <v>0.05867311163</v>
      </c>
      <c r="O58" s="16">
        <f t="shared" si="11"/>
        <v>1</v>
      </c>
      <c r="P58" s="17" t="s">
        <v>30</v>
      </c>
    </row>
    <row r="59" ht="14.25" customHeight="1">
      <c r="A59" s="18" t="s">
        <v>31</v>
      </c>
      <c r="B59" s="25">
        <v>1411169.4209580892</v>
      </c>
      <c r="C59" s="25">
        <v>900999.288526199</v>
      </c>
      <c r="D59" s="25">
        <v>1517193.8412955813</v>
      </c>
      <c r="E59" s="25">
        <v>1783379.985359829</v>
      </c>
      <c r="F59" s="25"/>
      <c r="G59" s="25"/>
      <c r="H59" s="25">
        <v>42572.18905472637</v>
      </c>
      <c r="I59" s="25">
        <v>6825219.462636431</v>
      </c>
      <c r="J59" s="25">
        <v>48411.54668325042</v>
      </c>
      <c r="K59" s="25">
        <v>4175701.5966921505</v>
      </c>
      <c r="L59" s="25"/>
      <c r="M59" s="25">
        <f t="shared" si="9"/>
        <v>16704647.33</v>
      </c>
      <c r="N59" s="16">
        <f t="shared" si="10"/>
        <v>0.05867311163</v>
      </c>
      <c r="O59" s="16">
        <f t="shared" si="11"/>
        <v>1</v>
      </c>
      <c r="P59" s="19" t="s">
        <v>31</v>
      </c>
    </row>
    <row r="60" ht="14.25" customHeight="1">
      <c r="A60" s="13" t="s">
        <v>32</v>
      </c>
      <c r="B60" s="25">
        <v>1411169.4209580892</v>
      </c>
      <c r="C60" s="25">
        <v>900999.288526199</v>
      </c>
      <c r="D60" s="25">
        <v>1517193.8412955813</v>
      </c>
      <c r="E60" s="25">
        <v>1783379.985359829</v>
      </c>
      <c r="F60" s="25"/>
      <c r="G60" s="25"/>
      <c r="H60" s="25">
        <v>42572.18905472637</v>
      </c>
      <c r="I60" s="25">
        <v>6825219.462636431</v>
      </c>
      <c r="J60" s="25">
        <v>48411.54668325042</v>
      </c>
      <c r="K60" s="25">
        <v>4175701.5966921505</v>
      </c>
      <c r="L60" s="25"/>
      <c r="M60" s="25">
        <f t="shared" si="9"/>
        <v>16704647.33</v>
      </c>
      <c r="N60" s="16">
        <f t="shared" si="10"/>
        <v>0.05867311163</v>
      </c>
      <c r="O60" s="16">
        <f t="shared" si="11"/>
        <v>1</v>
      </c>
      <c r="P60" s="17" t="s">
        <v>32</v>
      </c>
    </row>
    <row r="61" ht="14.25" customHeight="1">
      <c r="A61" s="18" t="s">
        <v>34</v>
      </c>
      <c r="B61" s="25">
        <v>1411169.4209580892</v>
      </c>
      <c r="C61" s="25">
        <v>900999.288526199</v>
      </c>
      <c r="D61" s="25">
        <v>1517193.8412955813</v>
      </c>
      <c r="E61" s="25">
        <v>1783379.985359829</v>
      </c>
      <c r="F61" s="25"/>
      <c r="G61" s="25"/>
      <c r="H61" s="25">
        <v>42572.18905472637</v>
      </c>
      <c r="I61" s="25">
        <v>6825219.462636431</v>
      </c>
      <c r="J61" s="25">
        <v>48411.54668325042</v>
      </c>
      <c r="K61" s="25">
        <v>4175701.5966921505</v>
      </c>
      <c r="L61" s="25"/>
      <c r="M61" s="25">
        <f t="shared" si="9"/>
        <v>16704647.33</v>
      </c>
      <c r="N61" s="16">
        <f t="shared" si="10"/>
        <v>0.05867311163</v>
      </c>
      <c r="O61" s="16">
        <f t="shared" si="11"/>
        <v>1</v>
      </c>
      <c r="P61" s="19" t="s">
        <v>34</v>
      </c>
    </row>
    <row r="62" ht="14.25" customHeight="1">
      <c r="A62" s="13" t="s">
        <v>35</v>
      </c>
      <c r="B62" s="25">
        <v>1128935.536766471</v>
      </c>
      <c r="C62" s="25">
        <v>720799.4308209593</v>
      </c>
      <c r="D62" s="25">
        <v>1213747.2596667241</v>
      </c>
      <c r="E62" s="25">
        <v>1426703.9882878633</v>
      </c>
      <c r="F62" s="25"/>
      <c r="G62" s="25"/>
      <c r="H62" s="25">
        <v>34057.751243781095</v>
      </c>
      <c r="I62" s="25">
        <v>5460175.570109145</v>
      </c>
      <c r="J62" s="25">
        <v>38729.237346600334</v>
      </c>
      <c r="K62" s="25">
        <v>3340561.2773537207</v>
      </c>
      <c r="L62" s="25"/>
      <c r="M62" s="25">
        <f t="shared" si="9"/>
        <v>13363710.05</v>
      </c>
      <c r="N62" s="16">
        <f t="shared" si="10"/>
        <v>0.04693846186</v>
      </c>
      <c r="O62" s="16">
        <f t="shared" si="11"/>
        <v>0.7999995323</v>
      </c>
      <c r="P62" s="17" t="s">
        <v>35</v>
      </c>
    </row>
    <row r="63" ht="14.25" customHeight="1">
      <c r="A63" s="18" t="s">
        <v>36</v>
      </c>
      <c r="B63" s="25">
        <v>1070361.9530771493</v>
      </c>
      <c r="C63" s="25">
        <v>900999.288526199</v>
      </c>
      <c r="D63" s="25">
        <v>1476287.7248656093</v>
      </c>
      <c r="E63" s="25">
        <v>1690472.4824875086</v>
      </c>
      <c r="F63" s="25"/>
      <c r="G63" s="25"/>
      <c r="H63" s="25">
        <v>42572.18905472637</v>
      </c>
      <c r="I63" s="25">
        <v>5790037.28130073</v>
      </c>
      <c r="J63" s="25">
        <v>48411.54668325042</v>
      </c>
      <c r="K63" s="25">
        <v>4173835.9931068</v>
      </c>
      <c r="L63" s="25"/>
      <c r="M63" s="25">
        <f t="shared" si="9"/>
        <v>15192978.46</v>
      </c>
      <c r="N63" s="16">
        <f t="shared" si="10"/>
        <v>0.05336355228</v>
      </c>
      <c r="O63" s="16">
        <f t="shared" si="11"/>
        <v>0.9095060888</v>
      </c>
      <c r="P63" s="19" t="s">
        <v>36</v>
      </c>
    </row>
    <row r="64" ht="14.25" customHeight="1">
      <c r="A64" s="13" t="s">
        <v>38</v>
      </c>
      <c r="B64" s="25">
        <f t="shared" ref="B64:N64" si="12">SUM(B46:B63)</f>
        <v>23705297.85</v>
      </c>
      <c r="C64" s="25">
        <f t="shared" si="12"/>
        <v>15521171.93</v>
      </c>
      <c r="D64" s="25">
        <f t="shared" si="12"/>
        <v>26029363.89</v>
      </c>
      <c r="E64" s="25">
        <f t="shared" si="12"/>
        <v>30423032.57</v>
      </c>
      <c r="F64" s="25">
        <f t="shared" si="12"/>
        <v>0</v>
      </c>
      <c r="G64" s="25">
        <f t="shared" si="12"/>
        <v>0</v>
      </c>
      <c r="H64" s="25">
        <f t="shared" si="12"/>
        <v>733458</v>
      </c>
      <c r="I64" s="25">
        <f t="shared" si="12"/>
        <v>115522026.1</v>
      </c>
      <c r="J64" s="25">
        <f t="shared" si="12"/>
        <v>834061.79</v>
      </c>
      <c r="K64" s="25">
        <f t="shared" si="12"/>
        <v>71938617.46</v>
      </c>
      <c r="L64" s="25">
        <f t="shared" si="12"/>
        <v>0</v>
      </c>
      <c r="M64" s="25">
        <f t="shared" si="12"/>
        <v>284707029.6</v>
      </c>
      <c r="N64" s="22">
        <f t="shared" si="12"/>
        <v>1</v>
      </c>
      <c r="P64" s="17"/>
    </row>
    <row r="65" ht="14.25" customHeight="1"/>
    <row r="66" ht="14.25" customHeight="1"/>
    <row r="67" ht="14.25" customHeight="1">
      <c r="A67" s="3" t="s">
        <v>3</v>
      </c>
      <c r="B67" s="6" t="s">
        <v>58</v>
      </c>
      <c r="C67" s="6" t="s">
        <v>59</v>
      </c>
      <c r="D67" s="6" t="s">
        <v>60</v>
      </c>
      <c r="E67" s="6" t="s">
        <v>61</v>
      </c>
      <c r="F67" s="6" t="s">
        <v>62</v>
      </c>
      <c r="G67" s="6"/>
      <c r="H67" s="6" t="s">
        <v>63</v>
      </c>
      <c r="I67" s="6" t="s">
        <v>64</v>
      </c>
      <c r="J67" s="9" t="s">
        <v>65</v>
      </c>
      <c r="K67" s="9" t="s">
        <v>66</v>
      </c>
      <c r="L67" s="6"/>
      <c r="M67" s="6" t="s">
        <v>4</v>
      </c>
      <c r="N67" s="11" t="s">
        <v>15</v>
      </c>
      <c r="O67" s="11" t="s">
        <v>16</v>
      </c>
      <c r="P67" s="11" t="s">
        <v>17</v>
      </c>
    </row>
    <row r="68" ht="14.25" customHeight="1">
      <c r="A68" s="13" t="s">
        <v>5</v>
      </c>
      <c r="B68" s="25">
        <v>730949.7419220567</v>
      </c>
      <c r="C68" s="25">
        <v>1601253.262924452</v>
      </c>
      <c r="D68" s="25">
        <v>113062.69721492345</v>
      </c>
      <c r="E68" s="25">
        <v>2466321.203140429</v>
      </c>
      <c r="F68" s="25">
        <v>3570526.420841319</v>
      </c>
      <c r="G68" s="25"/>
      <c r="H68" s="25">
        <v>36473.30091210613</v>
      </c>
      <c r="I68" s="25">
        <v>3783801.4649564764</v>
      </c>
      <c r="J68" s="25">
        <v>352625.3383913764</v>
      </c>
      <c r="K68" s="25">
        <v>5942493.713101162</v>
      </c>
      <c r="L68" s="25"/>
      <c r="M68" s="25">
        <f t="shared" ref="M68:M85" si="13">SUM(B68:L68)</f>
        <v>18597507.14</v>
      </c>
      <c r="N68" s="16">
        <f t="shared" ref="N68:N85" si="14">M68/SUM($M$68:$M$85)</f>
        <v>0.05807709905</v>
      </c>
      <c r="O68" s="16">
        <f t="shared" ref="O68:O85" si="15">N68/$N$68</f>
        <v>1</v>
      </c>
      <c r="P68" s="17" t="s">
        <v>5</v>
      </c>
    </row>
    <row r="69" ht="14.25" customHeight="1">
      <c r="A69" s="18" t="s">
        <v>18</v>
      </c>
      <c r="B69" s="25">
        <v>730949.7419220567</v>
      </c>
      <c r="C69" s="25">
        <v>1601253.262924452</v>
      </c>
      <c r="D69" s="25">
        <v>113062.69721492345</v>
      </c>
      <c r="E69" s="25">
        <v>2466321.203140429</v>
      </c>
      <c r="F69" s="25">
        <v>3570526.420841319</v>
      </c>
      <c r="G69" s="25"/>
      <c r="H69" s="25">
        <v>36473.30091210613</v>
      </c>
      <c r="I69" s="25">
        <v>3783801.4649564764</v>
      </c>
      <c r="J69" s="25">
        <v>352625.3383913764</v>
      </c>
      <c r="K69" s="25">
        <v>5942493.713101162</v>
      </c>
      <c r="L69" s="25"/>
      <c r="M69" s="25">
        <f t="shared" si="13"/>
        <v>18597507.14</v>
      </c>
      <c r="N69" s="16">
        <f t="shared" si="14"/>
        <v>0.05807709905</v>
      </c>
      <c r="O69" s="16">
        <f t="shared" si="15"/>
        <v>1</v>
      </c>
      <c r="P69" s="19" t="s">
        <v>18</v>
      </c>
    </row>
    <row r="70" ht="14.25" customHeight="1">
      <c r="A70" s="13" t="s">
        <v>20</v>
      </c>
      <c r="B70" s="25">
        <v>730949.7419220567</v>
      </c>
      <c r="C70" s="25">
        <v>1601253.262924452</v>
      </c>
      <c r="D70" s="25">
        <v>113062.69721492345</v>
      </c>
      <c r="E70" s="25">
        <v>2466321.203140429</v>
      </c>
      <c r="F70" s="25">
        <v>3570526.420841319</v>
      </c>
      <c r="G70" s="25"/>
      <c r="H70" s="25">
        <v>36473.30091210613</v>
      </c>
      <c r="I70" s="25">
        <v>3783801.4649564764</v>
      </c>
      <c r="J70" s="25">
        <v>352625.3383913764</v>
      </c>
      <c r="K70" s="25">
        <v>5942493.713101162</v>
      </c>
      <c r="L70" s="25"/>
      <c r="M70" s="25">
        <f t="shared" si="13"/>
        <v>18597507.14</v>
      </c>
      <c r="N70" s="16">
        <f t="shared" si="14"/>
        <v>0.05807709905</v>
      </c>
      <c r="O70" s="16">
        <f t="shared" si="15"/>
        <v>1</v>
      </c>
      <c r="P70" s="17" t="s">
        <v>20</v>
      </c>
    </row>
    <row r="71" ht="14.25" customHeight="1">
      <c r="A71" s="18" t="s">
        <v>21</v>
      </c>
      <c r="B71" s="25">
        <v>730949.7419220567</v>
      </c>
      <c r="C71" s="25">
        <v>1601253.262924452</v>
      </c>
      <c r="D71" s="25">
        <v>113062.69721492345</v>
      </c>
      <c r="E71" s="25">
        <v>2466321.203140429</v>
      </c>
      <c r="F71" s="25">
        <v>3570526.420841319</v>
      </c>
      <c r="G71" s="25"/>
      <c r="H71" s="25">
        <v>36473.30091210613</v>
      </c>
      <c r="I71" s="25">
        <v>3783801.4649564764</v>
      </c>
      <c r="J71" s="25">
        <v>352625.3383913764</v>
      </c>
      <c r="K71" s="25">
        <v>5942493.713101162</v>
      </c>
      <c r="L71" s="25"/>
      <c r="M71" s="25">
        <f t="shared" si="13"/>
        <v>18597507.14</v>
      </c>
      <c r="N71" s="16">
        <f t="shared" si="14"/>
        <v>0.05807709905</v>
      </c>
      <c r="O71" s="16">
        <f t="shared" si="15"/>
        <v>1</v>
      </c>
      <c r="P71" s="19" t="s">
        <v>21</v>
      </c>
    </row>
    <row r="72" ht="14.25" customHeight="1">
      <c r="A72" s="13" t="s">
        <v>22</v>
      </c>
      <c r="B72" s="25">
        <v>522106.95851575467</v>
      </c>
      <c r="C72" s="25">
        <v>1145417.1415441667</v>
      </c>
      <c r="D72" s="25">
        <v>80759.06943923104</v>
      </c>
      <c r="E72" s="25">
        <v>1764535.8679622156</v>
      </c>
      <c r="F72" s="25">
        <v>2551051.847221928</v>
      </c>
      <c r="G72" s="25"/>
      <c r="H72" s="25">
        <v>26052.357794361524</v>
      </c>
      <c r="I72" s="25">
        <v>2703191.81200616</v>
      </c>
      <c r="J72" s="25">
        <v>251875.241708126</v>
      </c>
      <c r="K72" s="25">
        <v>4244638.36650083</v>
      </c>
      <c r="L72" s="25"/>
      <c r="M72" s="25">
        <f t="shared" si="13"/>
        <v>13289628.66</v>
      </c>
      <c r="N72" s="16">
        <f t="shared" si="14"/>
        <v>0.04150142674</v>
      </c>
      <c r="O72" s="16">
        <f t="shared" si="15"/>
        <v>0.7145919375</v>
      </c>
      <c r="P72" s="17" t="s">
        <v>22</v>
      </c>
    </row>
    <row r="73" ht="14.25" customHeight="1">
      <c r="A73" s="18" t="s">
        <v>23</v>
      </c>
      <c r="B73" s="25">
        <v>730949.7419220567</v>
      </c>
      <c r="C73" s="25">
        <v>1601253.262924452</v>
      </c>
      <c r="D73" s="25">
        <v>113062.69721492345</v>
      </c>
      <c r="E73" s="25">
        <v>2466321.203140429</v>
      </c>
      <c r="F73" s="25">
        <v>3570526.420841319</v>
      </c>
      <c r="G73" s="25"/>
      <c r="H73" s="25">
        <v>36473.30091210613</v>
      </c>
      <c r="I73" s="25">
        <v>3783801.4649564764</v>
      </c>
      <c r="J73" s="25">
        <v>352625.3383913764</v>
      </c>
      <c r="K73" s="25">
        <v>5942493.713101162</v>
      </c>
      <c r="L73" s="25"/>
      <c r="M73" s="25">
        <f t="shared" si="13"/>
        <v>18597507.14</v>
      </c>
      <c r="N73" s="16">
        <f t="shared" si="14"/>
        <v>0.05807709905</v>
      </c>
      <c r="O73" s="16">
        <f t="shared" si="15"/>
        <v>1</v>
      </c>
      <c r="P73" s="19" t="s">
        <v>23</v>
      </c>
    </row>
    <row r="74" ht="14.25" customHeight="1">
      <c r="A74" s="13" t="s">
        <v>24</v>
      </c>
      <c r="B74" s="25">
        <v>522106.95851575467</v>
      </c>
      <c r="C74" s="25">
        <v>1145417.1415441667</v>
      </c>
      <c r="D74" s="25">
        <v>80759.06943923104</v>
      </c>
      <c r="E74" s="25">
        <v>1761816.2848577113</v>
      </c>
      <c r="F74" s="25">
        <v>2551051.847221928</v>
      </c>
      <c r="G74" s="25"/>
      <c r="H74" s="25">
        <v>26052.357794361524</v>
      </c>
      <c r="I74" s="25">
        <v>2703191.81200616</v>
      </c>
      <c r="J74" s="25">
        <v>251875.241708126</v>
      </c>
      <c r="K74" s="25">
        <v>4244638.36650083</v>
      </c>
      <c r="L74" s="25"/>
      <c r="M74" s="25">
        <f t="shared" si="13"/>
        <v>13286909.08</v>
      </c>
      <c r="N74" s="16">
        <f t="shared" si="14"/>
        <v>0.04149293391</v>
      </c>
      <c r="O74" s="16">
        <f t="shared" si="15"/>
        <v>0.7144457038</v>
      </c>
      <c r="P74" s="19" t="s">
        <v>24</v>
      </c>
    </row>
    <row r="75" ht="14.25" customHeight="1">
      <c r="A75" s="18" t="s">
        <v>25</v>
      </c>
      <c r="B75" s="25">
        <v>730949.7419220567</v>
      </c>
      <c r="C75" s="25">
        <v>1601253.262924452</v>
      </c>
      <c r="D75" s="25">
        <v>113062.69721492345</v>
      </c>
      <c r="E75" s="25">
        <v>2466321.203140429</v>
      </c>
      <c r="F75" s="25">
        <v>3570526.420841319</v>
      </c>
      <c r="G75" s="25"/>
      <c r="H75" s="25">
        <v>36473.30091210613</v>
      </c>
      <c r="I75" s="25">
        <v>3783801.4649564764</v>
      </c>
      <c r="J75" s="25">
        <v>352625.3383913764</v>
      </c>
      <c r="K75" s="25">
        <v>5942493.713101162</v>
      </c>
      <c r="L75" s="25"/>
      <c r="M75" s="25">
        <f t="shared" si="13"/>
        <v>18597507.14</v>
      </c>
      <c r="N75" s="16">
        <f t="shared" si="14"/>
        <v>0.05807709905</v>
      </c>
      <c r="O75" s="16">
        <f t="shared" si="15"/>
        <v>1</v>
      </c>
      <c r="P75" s="19" t="s">
        <v>25</v>
      </c>
    </row>
    <row r="76" ht="14.25" customHeight="1">
      <c r="A76" s="13" t="s">
        <v>26</v>
      </c>
      <c r="B76" s="25">
        <v>730949.7419220567</v>
      </c>
      <c r="C76" s="25">
        <v>1601253.262924452</v>
      </c>
      <c r="D76" s="25">
        <v>113062.69721492345</v>
      </c>
      <c r="E76" s="25">
        <v>2466321.203140429</v>
      </c>
      <c r="F76" s="25">
        <v>3570526.420841319</v>
      </c>
      <c r="G76" s="25"/>
      <c r="H76" s="25">
        <v>36473.30091210613</v>
      </c>
      <c r="I76" s="25">
        <v>3783801.4649564764</v>
      </c>
      <c r="J76" s="25">
        <v>352625.3383913764</v>
      </c>
      <c r="K76" s="25">
        <v>5942493.713101162</v>
      </c>
      <c r="L76" s="25"/>
      <c r="M76" s="25">
        <f t="shared" si="13"/>
        <v>18597507.14</v>
      </c>
      <c r="N76" s="16">
        <f t="shared" si="14"/>
        <v>0.05807709905</v>
      </c>
      <c r="O76" s="16">
        <f t="shared" si="15"/>
        <v>1</v>
      </c>
      <c r="P76" s="17" t="s">
        <v>26</v>
      </c>
    </row>
    <row r="77" ht="14.25" customHeight="1">
      <c r="A77" s="18" t="s">
        <v>27</v>
      </c>
      <c r="B77" s="25">
        <v>730949.7419220567</v>
      </c>
      <c r="C77" s="25">
        <v>1601253.262924452</v>
      </c>
      <c r="D77" s="25">
        <v>113062.69721492345</v>
      </c>
      <c r="E77" s="25">
        <v>2466321.203140429</v>
      </c>
      <c r="F77" s="25">
        <v>3570526.420841319</v>
      </c>
      <c r="G77" s="25"/>
      <c r="H77" s="25">
        <v>36473.30091210613</v>
      </c>
      <c r="I77" s="25">
        <v>3783801.4649564764</v>
      </c>
      <c r="J77" s="25">
        <v>352625.3383913764</v>
      </c>
      <c r="K77" s="25">
        <v>5942493.713101162</v>
      </c>
      <c r="L77" s="25"/>
      <c r="M77" s="25">
        <f t="shared" si="13"/>
        <v>18597507.14</v>
      </c>
      <c r="N77" s="16">
        <f t="shared" si="14"/>
        <v>0.05807709905</v>
      </c>
      <c r="O77" s="16">
        <f t="shared" si="15"/>
        <v>1</v>
      </c>
      <c r="P77" s="19" t="s">
        <v>27</v>
      </c>
    </row>
    <row r="78" ht="14.25" customHeight="1">
      <c r="A78" s="13" t="s">
        <v>28</v>
      </c>
      <c r="B78" s="25">
        <v>730949.7419220567</v>
      </c>
      <c r="C78" s="25">
        <v>1523528.1795247847</v>
      </c>
      <c r="D78" s="25">
        <v>113062.69721492345</v>
      </c>
      <c r="E78" s="25">
        <v>2460437.998801743</v>
      </c>
      <c r="F78" s="25">
        <v>3539209.6202375814</v>
      </c>
      <c r="G78" s="25"/>
      <c r="H78" s="25">
        <v>36473.30091210613</v>
      </c>
      <c r="I78" s="25">
        <v>3775614.6740437597</v>
      </c>
      <c r="J78" s="25">
        <v>352625.3383913764</v>
      </c>
      <c r="K78" s="25">
        <v>5942493.713101162</v>
      </c>
      <c r="L78" s="25"/>
      <c r="M78" s="25">
        <f t="shared" si="13"/>
        <v>18474395.26</v>
      </c>
      <c r="N78" s="16">
        <f t="shared" si="14"/>
        <v>0.05769263996</v>
      </c>
      <c r="O78" s="16">
        <f t="shared" si="15"/>
        <v>0.9933801945</v>
      </c>
      <c r="P78" s="17" t="s">
        <v>28</v>
      </c>
    </row>
    <row r="79" ht="14.25" customHeight="1">
      <c r="A79" s="18" t="s">
        <v>29</v>
      </c>
      <c r="B79" s="25">
        <v>730949.7419220567</v>
      </c>
      <c r="C79" s="25">
        <v>1601253.262924452</v>
      </c>
      <c r="D79" s="25">
        <v>113062.69721492345</v>
      </c>
      <c r="E79" s="25">
        <v>2466321.203140429</v>
      </c>
      <c r="F79" s="25">
        <v>3570526.420841319</v>
      </c>
      <c r="G79" s="25"/>
      <c r="H79" s="25">
        <v>36473.30091210613</v>
      </c>
      <c r="I79" s="25">
        <v>3783801.4649564764</v>
      </c>
      <c r="J79" s="25">
        <v>352625.3383913764</v>
      </c>
      <c r="K79" s="25">
        <v>5942493.713101162</v>
      </c>
      <c r="L79" s="25"/>
      <c r="M79" s="25">
        <f t="shared" si="13"/>
        <v>18597507.14</v>
      </c>
      <c r="N79" s="16">
        <f t="shared" si="14"/>
        <v>0.05807709905</v>
      </c>
      <c r="O79" s="16">
        <f t="shared" si="15"/>
        <v>1</v>
      </c>
      <c r="P79" s="19" t="s">
        <v>29</v>
      </c>
    </row>
    <row r="80" ht="14.25" customHeight="1">
      <c r="A80" s="13" t="s">
        <v>30</v>
      </c>
      <c r="B80" s="25">
        <v>730949.7419220567</v>
      </c>
      <c r="C80" s="25">
        <v>1601253.262924452</v>
      </c>
      <c r="D80" s="25">
        <v>113062.69721492345</v>
      </c>
      <c r="E80" s="25">
        <v>2466321.203140429</v>
      </c>
      <c r="F80" s="25">
        <v>3570526.420841319</v>
      </c>
      <c r="G80" s="25"/>
      <c r="H80" s="25">
        <v>36473.30091210613</v>
      </c>
      <c r="I80" s="25">
        <v>3783801.4649564764</v>
      </c>
      <c r="J80" s="25">
        <v>352625.3383913764</v>
      </c>
      <c r="K80" s="25">
        <v>5942493.713101162</v>
      </c>
      <c r="L80" s="25"/>
      <c r="M80" s="25">
        <f t="shared" si="13"/>
        <v>18597507.14</v>
      </c>
      <c r="N80" s="16">
        <f t="shared" si="14"/>
        <v>0.05807709905</v>
      </c>
      <c r="O80" s="16">
        <f t="shared" si="15"/>
        <v>1</v>
      </c>
      <c r="P80" s="17" t="s">
        <v>30</v>
      </c>
    </row>
    <row r="81" ht="14.25" customHeight="1">
      <c r="A81" s="18" t="s">
        <v>31</v>
      </c>
      <c r="B81" s="25">
        <v>730949.7419220567</v>
      </c>
      <c r="C81" s="25">
        <v>1601253.262924452</v>
      </c>
      <c r="D81" s="25">
        <v>113062.69721492345</v>
      </c>
      <c r="E81" s="25">
        <v>2466321.203140429</v>
      </c>
      <c r="F81" s="25">
        <v>3570526.420841319</v>
      </c>
      <c r="G81" s="25"/>
      <c r="H81" s="25">
        <v>36473.30091210613</v>
      </c>
      <c r="I81" s="25">
        <v>3783801.4649564764</v>
      </c>
      <c r="J81" s="25">
        <v>352625.3383913764</v>
      </c>
      <c r="K81" s="25">
        <v>5942493.713101162</v>
      </c>
      <c r="L81" s="25"/>
      <c r="M81" s="25">
        <f t="shared" si="13"/>
        <v>18597507.14</v>
      </c>
      <c r="N81" s="16">
        <f t="shared" si="14"/>
        <v>0.05807709905</v>
      </c>
      <c r="O81" s="16">
        <f t="shared" si="15"/>
        <v>1</v>
      </c>
      <c r="P81" s="19" t="s">
        <v>31</v>
      </c>
    </row>
    <row r="82" ht="14.25" customHeight="1">
      <c r="A82" s="13" t="s">
        <v>32</v>
      </c>
      <c r="B82" s="25">
        <v>730949.7419220567</v>
      </c>
      <c r="C82" s="25">
        <v>1601253.262924452</v>
      </c>
      <c r="D82" s="25">
        <v>113062.69721492345</v>
      </c>
      <c r="E82" s="25">
        <v>2466321.203140429</v>
      </c>
      <c r="F82" s="25">
        <v>3570526.420841319</v>
      </c>
      <c r="G82" s="25"/>
      <c r="H82" s="25">
        <v>36473.30091210613</v>
      </c>
      <c r="I82" s="25">
        <v>3783801.4649564764</v>
      </c>
      <c r="J82" s="25">
        <v>352625.3383913764</v>
      </c>
      <c r="K82" s="25">
        <v>5942493.713101162</v>
      </c>
      <c r="L82" s="25"/>
      <c r="M82" s="25">
        <f t="shared" si="13"/>
        <v>18597507.14</v>
      </c>
      <c r="N82" s="16">
        <f t="shared" si="14"/>
        <v>0.05807709905</v>
      </c>
      <c r="O82" s="16">
        <f t="shared" si="15"/>
        <v>1</v>
      </c>
      <c r="P82" s="17" t="s">
        <v>32</v>
      </c>
    </row>
    <row r="83" ht="14.25" customHeight="1">
      <c r="A83" s="18" t="s">
        <v>34</v>
      </c>
      <c r="B83" s="25">
        <v>730949.7419220567</v>
      </c>
      <c r="C83" s="25">
        <v>1601253.262924452</v>
      </c>
      <c r="D83" s="25">
        <v>113062.69721492345</v>
      </c>
      <c r="E83" s="25">
        <v>2466321.203140429</v>
      </c>
      <c r="F83" s="25">
        <v>3570526.420841319</v>
      </c>
      <c r="G83" s="25"/>
      <c r="H83" s="25">
        <v>36473.30091210613</v>
      </c>
      <c r="I83" s="25">
        <v>3783801.4649564764</v>
      </c>
      <c r="J83" s="25">
        <v>352625.3383913764</v>
      </c>
      <c r="K83" s="25">
        <v>5942493.713101162</v>
      </c>
      <c r="L83" s="25"/>
      <c r="M83" s="25">
        <f t="shared" si="13"/>
        <v>18597507.14</v>
      </c>
      <c r="N83" s="16">
        <f t="shared" si="14"/>
        <v>0.05807709905</v>
      </c>
      <c r="O83" s="16">
        <f t="shared" si="15"/>
        <v>1</v>
      </c>
      <c r="P83" s="19" t="s">
        <v>34</v>
      </c>
    </row>
    <row r="84" ht="14.25" customHeight="1">
      <c r="A84" s="13" t="s">
        <v>35</v>
      </c>
      <c r="B84" s="25">
        <v>584759.7935376454</v>
      </c>
      <c r="C84" s="25">
        <v>1281002.6103395622</v>
      </c>
      <c r="D84" s="25">
        <v>90450.15777193877</v>
      </c>
      <c r="E84" s="25">
        <v>1973056.9625123434</v>
      </c>
      <c r="F84" s="25">
        <v>2856421.136673055</v>
      </c>
      <c r="G84" s="25"/>
      <c r="H84" s="25">
        <v>29178.64072968491</v>
      </c>
      <c r="I84" s="25">
        <v>3027041.1719651814</v>
      </c>
      <c r="J84" s="25">
        <v>282100.27071310114</v>
      </c>
      <c r="K84" s="25">
        <v>4753994.97048093</v>
      </c>
      <c r="L84" s="25"/>
      <c r="M84" s="25">
        <f t="shared" si="13"/>
        <v>14878005.71</v>
      </c>
      <c r="N84" s="16">
        <f t="shared" si="14"/>
        <v>0.04646167924</v>
      </c>
      <c r="O84" s="16">
        <f t="shared" si="15"/>
        <v>0.8</v>
      </c>
      <c r="P84" s="17" t="s">
        <v>35</v>
      </c>
    </row>
    <row r="85" ht="14.25" customHeight="1">
      <c r="A85" s="18" t="s">
        <v>36</v>
      </c>
      <c r="B85" s="25">
        <v>730949.7419220567</v>
      </c>
      <c r="C85" s="25">
        <v>1548282.007529432</v>
      </c>
      <c r="D85" s="25">
        <v>113062.69721492345</v>
      </c>
      <c r="E85" s="25">
        <v>2466321.203140429</v>
      </c>
      <c r="F85" s="25">
        <v>3555140.8441084004</v>
      </c>
      <c r="G85" s="25"/>
      <c r="H85" s="25">
        <v>36473.30091210613</v>
      </c>
      <c r="I85" s="25">
        <v>3779126.5755445403</v>
      </c>
      <c r="J85" s="25">
        <v>352625.3383913764</v>
      </c>
      <c r="K85" s="25">
        <v>5942493.713101162</v>
      </c>
      <c r="L85" s="25"/>
      <c r="M85" s="25">
        <f t="shared" si="13"/>
        <v>18524475.42</v>
      </c>
      <c r="N85" s="16">
        <f t="shared" si="14"/>
        <v>0.05784903244</v>
      </c>
      <c r="O85" s="16">
        <f t="shared" si="15"/>
        <v>0.996073037</v>
      </c>
      <c r="P85" s="19" t="s">
        <v>36</v>
      </c>
    </row>
    <row r="86" ht="14.25" customHeight="1">
      <c r="A86" s="13" t="s">
        <v>38</v>
      </c>
      <c r="B86" s="25">
        <f t="shared" ref="B86:N86" si="16">SUM(B68:B85)</f>
        <v>12593219.84</v>
      </c>
      <c r="C86" s="25">
        <f t="shared" si="16"/>
        <v>27459939.5</v>
      </c>
      <c r="D86" s="25">
        <f t="shared" si="16"/>
        <v>1947908.755</v>
      </c>
      <c r="E86" s="25">
        <f t="shared" si="16"/>
        <v>42488343.96</v>
      </c>
      <c r="F86" s="25">
        <f t="shared" si="16"/>
        <v>61469718.77</v>
      </c>
      <c r="G86" s="25">
        <f t="shared" si="16"/>
        <v>0</v>
      </c>
      <c r="H86" s="25">
        <f t="shared" si="16"/>
        <v>628382.87</v>
      </c>
      <c r="I86" s="25">
        <f t="shared" si="16"/>
        <v>65177585.09</v>
      </c>
      <c r="J86" s="25">
        <f t="shared" si="16"/>
        <v>6075230.83</v>
      </c>
      <c r="K86" s="25">
        <f t="shared" si="16"/>
        <v>102380677.4</v>
      </c>
      <c r="L86" s="25">
        <f t="shared" si="16"/>
        <v>0</v>
      </c>
      <c r="M86" s="25">
        <f t="shared" si="16"/>
        <v>320221007</v>
      </c>
      <c r="N86" s="22">
        <f t="shared" si="16"/>
        <v>1</v>
      </c>
      <c r="P86" s="17"/>
    </row>
    <row r="87" ht="14.25" customHeight="1"/>
    <row r="88" ht="14.25" customHeight="1"/>
    <row r="89" ht="14.25" customHeight="1">
      <c r="B89" s="6" t="s">
        <v>67</v>
      </c>
      <c r="C89" s="6" t="s">
        <v>68</v>
      </c>
      <c r="D89" s="6" t="s">
        <v>69</v>
      </c>
      <c r="E89" s="6" t="s">
        <v>70</v>
      </c>
      <c r="F89" s="6" t="s">
        <v>71</v>
      </c>
      <c r="G89" s="6" t="s">
        <v>72</v>
      </c>
      <c r="H89" s="6" t="s">
        <v>73</v>
      </c>
      <c r="I89" s="6" t="s">
        <v>74</v>
      </c>
      <c r="J89" s="6" t="s">
        <v>75</v>
      </c>
      <c r="K89" s="6" t="s">
        <v>76</v>
      </c>
      <c r="L89" s="6"/>
      <c r="M89" s="6" t="s">
        <v>4</v>
      </c>
    </row>
    <row r="90" ht="14.25" customHeight="1">
      <c r="A90" s="13" t="s">
        <v>5</v>
      </c>
      <c r="B90" s="25">
        <v>1609843.6110852528</v>
      </c>
      <c r="C90" s="25">
        <v>108801.11672011491</v>
      </c>
      <c r="D90" s="25">
        <v>665864.5543954397</v>
      </c>
      <c r="E90" s="25">
        <v>2880159.760472635</v>
      </c>
      <c r="F90" s="25">
        <v>3799263.86390584</v>
      </c>
      <c r="G90" s="25">
        <v>1259380.199261586</v>
      </c>
      <c r="H90" s="25">
        <v>42558.621475953565</v>
      </c>
      <c r="I90" s="25">
        <v>3550837.6923372266</v>
      </c>
      <c r="J90" s="25">
        <v>211071.60480928695</v>
      </c>
      <c r="K90" s="25">
        <v>8201284.1723880535</v>
      </c>
      <c r="L90" s="25"/>
      <c r="M90" s="25">
        <f t="shared" ref="M90:M107" si="17">SUM(B90:L90)</f>
        <v>22329065.2</v>
      </c>
      <c r="N90" s="16">
        <f t="shared" ref="N90:N107" si="18">M90/SUM($M$90:$M$107)</f>
        <v>0.05804588509</v>
      </c>
      <c r="O90" s="16">
        <f t="shared" ref="O90:O107" si="19">N90/$N$90</f>
        <v>1</v>
      </c>
      <c r="P90" s="17" t="s">
        <v>5</v>
      </c>
    </row>
    <row r="91" ht="14.25" customHeight="1">
      <c r="A91" s="18" t="s">
        <v>18</v>
      </c>
      <c r="B91" s="25">
        <v>1609843.6110852528</v>
      </c>
      <c r="C91" s="25">
        <v>108801.11672011491</v>
      </c>
      <c r="D91" s="25">
        <v>665864.5543954397</v>
      </c>
      <c r="E91" s="25">
        <v>2880159.760472635</v>
      </c>
      <c r="F91" s="25">
        <v>3799263.86390584</v>
      </c>
      <c r="G91" s="25">
        <v>1259380.199261586</v>
      </c>
      <c r="H91" s="25">
        <v>42558.621475953565</v>
      </c>
      <c r="I91" s="25">
        <v>3550837.6923372266</v>
      </c>
      <c r="J91" s="25">
        <v>211071.60480928695</v>
      </c>
      <c r="K91" s="25">
        <v>8201284.1723880535</v>
      </c>
      <c r="L91" s="25"/>
      <c r="M91" s="25">
        <f t="shared" si="17"/>
        <v>22329065.2</v>
      </c>
      <c r="N91" s="16">
        <f t="shared" si="18"/>
        <v>0.05804588509</v>
      </c>
      <c r="O91" s="16">
        <f t="shared" si="19"/>
        <v>1</v>
      </c>
      <c r="P91" s="19" t="s">
        <v>18</v>
      </c>
    </row>
    <row r="92" ht="14.25" customHeight="1">
      <c r="A92" s="13" t="s">
        <v>20</v>
      </c>
      <c r="B92" s="25">
        <v>1609843.6110852528</v>
      </c>
      <c r="C92" s="25">
        <v>108801.11672011491</v>
      </c>
      <c r="D92" s="25">
        <v>665864.5543954397</v>
      </c>
      <c r="E92" s="25">
        <v>2880159.760472635</v>
      </c>
      <c r="F92" s="25">
        <v>3799263.86390584</v>
      </c>
      <c r="G92" s="25">
        <v>1259380.199261586</v>
      </c>
      <c r="H92" s="25">
        <v>42558.621475953565</v>
      </c>
      <c r="I92" s="25">
        <v>3550837.6923372266</v>
      </c>
      <c r="J92" s="25">
        <v>211071.60480928695</v>
      </c>
      <c r="K92" s="25">
        <v>8201284.1723880535</v>
      </c>
      <c r="L92" s="25"/>
      <c r="M92" s="25">
        <f t="shared" si="17"/>
        <v>22329065.2</v>
      </c>
      <c r="N92" s="16">
        <f t="shared" si="18"/>
        <v>0.05804588509</v>
      </c>
      <c r="O92" s="16">
        <f t="shared" si="19"/>
        <v>1</v>
      </c>
      <c r="P92" s="17" t="s">
        <v>20</v>
      </c>
    </row>
    <row r="93" ht="14.25" customHeight="1">
      <c r="A93" s="18" t="s">
        <v>21</v>
      </c>
      <c r="B93" s="25">
        <v>1609843.6110852528</v>
      </c>
      <c r="C93" s="25">
        <v>108801.11672011492</v>
      </c>
      <c r="D93" s="25">
        <v>665864.5543954397</v>
      </c>
      <c r="E93" s="25">
        <v>2880159.760472635</v>
      </c>
      <c r="F93" s="25">
        <v>3788185.410877996</v>
      </c>
      <c r="G93" s="25">
        <v>1259380.199261586</v>
      </c>
      <c r="H93" s="25">
        <v>42558.621475953565</v>
      </c>
      <c r="I93" s="25">
        <v>3550837.6923372266</v>
      </c>
      <c r="J93" s="25">
        <v>211071.60480928695</v>
      </c>
      <c r="K93" s="25">
        <v>8201284.1723880535</v>
      </c>
      <c r="L93" s="25"/>
      <c r="M93" s="25">
        <f t="shared" si="17"/>
        <v>22317986.74</v>
      </c>
      <c r="N93" s="16">
        <f t="shared" si="18"/>
        <v>0.05801708592</v>
      </c>
      <c r="O93" s="16">
        <f t="shared" si="19"/>
        <v>0.999503855</v>
      </c>
      <c r="P93" s="19" t="s">
        <v>21</v>
      </c>
    </row>
    <row r="94" ht="14.25" customHeight="1">
      <c r="A94" s="13" t="s">
        <v>22</v>
      </c>
      <c r="B94" s="25">
        <v>1150064.543186918</v>
      </c>
      <c r="C94" s="25">
        <v>77715.08337151067</v>
      </c>
      <c r="D94" s="25">
        <v>475617.5388538855</v>
      </c>
      <c r="E94" s="25">
        <v>2057256.9717661678</v>
      </c>
      <c r="F94" s="25">
        <v>2716902.393039201</v>
      </c>
      <c r="G94" s="25">
        <v>899557.285186847</v>
      </c>
      <c r="H94" s="25">
        <v>30399.01533996683</v>
      </c>
      <c r="I94" s="25">
        <v>2536312.6373837334</v>
      </c>
      <c r="J94" s="25">
        <v>150765.43200663352</v>
      </c>
      <c r="K94" s="25">
        <v>5858060.123134324</v>
      </c>
      <c r="L94" s="25"/>
      <c r="M94" s="25">
        <f t="shared" si="17"/>
        <v>15952651.02</v>
      </c>
      <c r="N94" s="16">
        <f t="shared" si="18"/>
        <v>0.04146997378</v>
      </c>
      <c r="O94" s="16">
        <f t="shared" si="19"/>
        <v>0.714434343</v>
      </c>
      <c r="P94" s="17" t="s">
        <v>22</v>
      </c>
    </row>
    <row r="95" ht="14.25" customHeight="1">
      <c r="A95" s="18" t="s">
        <v>23</v>
      </c>
      <c r="B95" s="25">
        <v>1609843.6110852528</v>
      </c>
      <c r="C95" s="25">
        <v>108801.11672011492</v>
      </c>
      <c r="D95" s="25">
        <v>665864.5543954397</v>
      </c>
      <c r="E95" s="25">
        <v>2880159.760472635</v>
      </c>
      <c r="F95" s="25">
        <v>3799263.86390584</v>
      </c>
      <c r="G95" s="25">
        <v>1259380.199261586</v>
      </c>
      <c r="H95" s="25">
        <v>42558.621475953565</v>
      </c>
      <c r="I95" s="25">
        <v>3550837.6923372266</v>
      </c>
      <c r="J95" s="25">
        <v>211071.60480928695</v>
      </c>
      <c r="K95" s="25">
        <v>8201284.1723880535</v>
      </c>
      <c r="L95" s="25"/>
      <c r="M95" s="25">
        <f t="shared" si="17"/>
        <v>22329065.2</v>
      </c>
      <c r="N95" s="16">
        <f t="shared" si="18"/>
        <v>0.05804588509</v>
      </c>
      <c r="O95" s="16">
        <f t="shared" si="19"/>
        <v>1</v>
      </c>
      <c r="P95" s="19" t="s">
        <v>23</v>
      </c>
    </row>
    <row r="96" ht="14.25" customHeight="1">
      <c r="A96" s="13" t="s">
        <v>24</v>
      </c>
      <c r="B96" s="25">
        <v>1150064.543186918</v>
      </c>
      <c r="C96" s="25">
        <v>77715.08337151067</v>
      </c>
      <c r="D96" s="25">
        <v>475617.5388538855</v>
      </c>
      <c r="E96" s="25">
        <v>2057256.9717661678</v>
      </c>
      <c r="F96" s="25">
        <v>2716913.272369211</v>
      </c>
      <c r="G96" s="25">
        <v>899557.285186847</v>
      </c>
      <c r="H96" s="25">
        <v>30399.01533996683</v>
      </c>
      <c r="I96" s="25">
        <v>2536312.6373837334</v>
      </c>
      <c r="J96" s="25">
        <v>150765.43200663352</v>
      </c>
      <c r="K96" s="25">
        <v>5858060.123134324</v>
      </c>
      <c r="L96" s="25"/>
      <c r="M96" s="25">
        <f t="shared" si="17"/>
        <v>15952661.9</v>
      </c>
      <c r="N96" s="16">
        <f t="shared" si="18"/>
        <v>0.04147000206</v>
      </c>
      <c r="O96" s="16">
        <f t="shared" si="19"/>
        <v>0.7144348302</v>
      </c>
      <c r="P96" s="19" t="s">
        <v>24</v>
      </c>
    </row>
    <row r="97" ht="14.25" customHeight="1">
      <c r="A97" s="18" t="s">
        <v>25</v>
      </c>
      <c r="B97" s="25">
        <v>1609843.6110852528</v>
      </c>
      <c r="C97" s="25">
        <v>108801.11672011491</v>
      </c>
      <c r="D97" s="25">
        <v>665864.5543954397</v>
      </c>
      <c r="E97" s="25">
        <v>2880159.760472635</v>
      </c>
      <c r="F97" s="25">
        <v>3799263.86390584</v>
      </c>
      <c r="G97" s="25">
        <v>1259380.199261586</v>
      </c>
      <c r="H97" s="25">
        <v>42558.621475953565</v>
      </c>
      <c r="I97" s="25">
        <v>3550837.6923372266</v>
      </c>
      <c r="J97" s="25">
        <v>211071.60480928695</v>
      </c>
      <c r="K97" s="25">
        <v>8201284.1723880535</v>
      </c>
      <c r="L97" s="27"/>
      <c r="M97" s="25">
        <f t="shared" si="17"/>
        <v>22329065.2</v>
      </c>
      <c r="N97" s="16">
        <f t="shared" si="18"/>
        <v>0.05804588509</v>
      </c>
      <c r="O97" s="16">
        <f t="shared" si="19"/>
        <v>1</v>
      </c>
      <c r="P97" s="19" t="s">
        <v>25</v>
      </c>
    </row>
    <row r="98" ht="14.25" customHeight="1">
      <c r="A98" s="13" t="s">
        <v>26</v>
      </c>
      <c r="B98" s="25">
        <v>1609843.6110852528</v>
      </c>
      <c r="C98" s="25">
        <v>108801.11672011491</v>
      </c>
      <c r="D98" s="25">
        <v>665864.5543954397</v>
      </c>
      <c r="E98" s="25">
        <v>2880159.7604726343</v>
      </c>
      <c r="F98" s="25">
        <v>3799263.86390584</v>
      </c>
      <c r="G98" s="25">
        <v>1259380.199261586</v>
      </c>
      <c r="H98" s="25">
        <v>42558.621475953565</v>
      </c>
      <c r="I98" s="25">
        <v>3550837.6923372266</v>
      </c>
      <c r="J98" s="25">
        <v>211071.60480928695</v>
      </c>
      <c r="K98" s="25">
        <v>8201284.1723880535</v>
      </c>
      <c r="L98" s="25"/>
      <c r="M98" s="25">
        <f t="shared" si="17"/>
        <v>22329065.2</v>
      </c>
      <c r="N98" s="16">
        <f t="shared" si="18"/>
        <v>0.05804588509</v>
      </c>
      <c r="O98" s="16">
        <f t="shared" si="19"/>
        <v>1</v>
      </c>
      <c r="P98" s="17" t="s">
        <v>26</v>
      </c>
    </row>
    <row r="99" ht="14.25" customHeight="1">
      <c r="A99" s="18" t="s">
        <v>27</v>
      </c>
      <c r="B99" s="25">
        <v>1609843.6110852528</v>
      </c>
      <c r="C99" s="25">
        <v>108801.11672011491</v>
      </c>
      <c r="D99" s="25">
        <v>665864.5543954397</v>
      </c>
      <c r="E99" s="25">
        <v>2880159.760472635</v>
      </c>
      <c r="F99" s="25">
        <v>3799263.86390584</v>
      </c>
      <c r="G99" s="25">
        <v>1259380.199261586</v>
      </c>
      <c r="H99" s="25">
        <v>42558.621475953565</v>
      </c>
      <c r="I99" s="25">
        <v>3550837.6923372266</v>
      </c>
      <c r="J99" s="25">
        <v>211071.60480928695</v>
      </c>
      <c r="K99" s="25">
        <v>8201284.1723880535</v>
      </c>
      <c r="L99" s="25"/>
      <c r="M99" s="25">
        <f t="shared" si="17"/>
        <v>22329065.2</v>
      </c>
      <c r="N99" s="16">
        <f t="shared" si="18"/>
        <v>0.05804588509</v>
      </c>
      <c r="O99" s="16">
        <f t="shared" si="19"/>
        <v>1</v>
      </c>
      <c r="P99" s="19" t="s">
        <v>27</v>
      </c>
    </row>
    <row r="100" ht="14.25" customHeight="1">
      <c r="A100" s="13" t="s">
        <v>28</v>
      </c>
      <c r="B100" s="25">
        <v>1606267.1025866587</v>
      </c>
      <c r="C100" s="25">
        <v>108801.11672011491</v>
      </c>
      <c r="D100" s="25">
        <v>658388.9164397217</v>
      </c>
      <c r="E100" s="25">
        <v>2880159.760472635</v>
      </c>
      <c r="F100" s="25">
        <v>3797878.415231892</v>
      </c>
      <c r="G100" s="25">
        <v>1259380.199261586</v>
      </c>
      <c r="H100" s="25">
        <v>42558.621475953565</v>
      </c>
      <c r="I100" s="25">
        <v>3549188.3186415457</v>
      </c>
      <c r="J100" s="25">
        <v>211071.60480928695</v>
      </c>
      <c r="K100" s="25">
        <v>8201284.1723880535</v>
      </c>
      <c r="L100" s="25"/>
      <c r="M100" s="25">
        <f t="shared" si="17"/>
        <v>22314978.23</v>
      </c>
      <c r="N100" s="16">
        <f t="shared" si="18"/>
        <v>0.05800926509</v>
      </c>
      <c r="O100" s="16">
        <f t="shared" si="19"/>
        <v>0.9993691196</v>
      </c>
      <c r="P100" s="17" t="s">
        <v>28</v>
      </c>
    </row>
    <row r="101" ht="14.25" customHeight="1">
      <c r="A101" s="18" t="s">
        <v>29</v>
      </c>
      <c r="B101" s="25">
        <v>1609843.6110852528</v>
      </c>
      <c r="C101" s="25">
        <v>108801.11672011492</v>
      </c>
      <c r="D101" s="25">
        <v>665864.5543954397</v>
      </c>
      <c r="E101" s="25">
        <v>2880159.760472635</v>
      </c>
      <c r="F101" s="25">
        <v>3799263.86390584</v>
      </c>
      <c r="G101" s="25">
        <v>1259380.199261586</v>
      </c>
      <c r="H101" s="25">
        <v>42558.621475953565</v>
      </c>
      <c r="I101" s="25">
        <v>3550837.6923372266</v>
      </c>
      <c r="J101" s="25">
        <v>211071.60480928695</v>
      </c>
      <c r="K101" s="25">
        <v>8201284.1723880535</v>
      </c>
      <c r="L101" s="27"/>
      <c r="M101" s="25">
        <f t="shared" si="17"/>
        <v>22329065.2</v>
      </c>
      <c r="N101" s="16">
        <f t="shared" si="18"/>
        <v>0.05804588509</v>
      </c>
      <c r="O101" s="16">
        <f t="shared" si="19"/>
        <v>1</v>
      </c>
      <c r="P101" s="19" t="s">
        <v>29</v>
      </c>
    </row>
    <row r="102" ht="14.25" customHeight="1">
      <c r="A102" s="13" t="s">
        <v>30</v>
      </c>
      <c r="B102" s="25">
        <v>1609843.6110852528</v>
      </c>
      <c r="C102" s="25">
        <v>108801.11672011491</v>
      </c>
      <c r="D102" s="25">
        <v>665864.5543954397</v>
      </c>
      <c r="E102" s="25">
        <v>2880159.7604726343</v>
      </c>
      <c r="F102" s="25">
        <v>3799263.86390584</v>
      </c>
      <c r="G102" s="25">
        <v>1259380.199261586</v>
      </c>
      <c r="H102" s="25">
        <v>42558.621475953565</v>
      </c>
      <c r="I102" s="25">
        <v>3550837.6923372266</v>
      </c>
      <c r="J102" s="25">
        <v>211071.60480928695</v>
      </c>
      <c r="K102" s="25">
        <v>8201284.1723880535</v>
      </c>
      <c r="L102" s="25"/>
      <c r="M102" s="25">
        <f t="shared" si="17"/>
        <v>22329065.2</v>
      </c>
      <c r="N102" s="16">
        <f t="shared" si="18"/>
        <v>0.05804588509</v>
      </c>
      <c r="O102" s="16">
        <f t="shared" si="19"/>
        <v>1</v>
      </c>
      <c r="P102" s="17" t="s">
        <v>30</v>
      </c>
    </row>
    <row r="103" ht="14.25" customHeight="1">
      <c r="A103" s="18" t="s">
        <v>31</v>
      </c>
      <c r="B103" s="25">
        <v>1609843.6110852528</v>
      </c>
      <c r="C103" s="25">
        <v>108801.11672011491</v>
      </c>
      <c r="D103" s="25">
        <v>665864.5543954397</v>
      </c>
      <c r="E103" s="25">
        <v>2880159.760472635</v>
      </c>
      <c r="F103" s="25">
        <v>3799263.86390584</v>
      </c>
      <c r="G103" s="25">
        <v>1259380.199261586</v>
      </c>
      <c r="H103" s="25">
        <v>42558.621475953565</v>
      </c>
      <c r="I103" s="25">
        <v>3550837.6923372266</v>
      </c>
      <c r="J103" s="25">
        <v>211071.60480928695</v>
      </c>
      <c r="K103" s="25">
        <v>8201284.1723880535</v>
      </c>
      <c r="L103" s="25"/>
      <c r="M103" s="25">
        <f t="shared" si="17"/>
        <v>22329065.2</v>
      </c>
      <c r="N103" s="16">
        <f t="shared" si="18"/>
        <v>0.05804588509</v>
      </c>
      <c r="O103" s="16">
        <f t="shared" si="19"/>
        <v>1</v>
      </c>
      <c r="P103" s="19" t="s">
        <v>31</v>
      </c>
    </row>
    <row r="104" ht="14.25" customHeight="1">
      <c r="A104" s="13" t="s">
        <v>32</v>
      </c>
      <c r="B104" s="25">
        <v>1609843.6110852528</v>
      </c>
      <c r="C104" s="25">
        <v>108801.11672011492</v>
      </c>
      <c r="D104" s="25">
        <v>665864.5543954397</v>
      </c>
      <c r="E104" s="25">
        <v>2880159.760472635</v>
      </c>
      <c r="F104" s="25">
        <v>3799263.86390584</v>
      </c>
      <c r="G104" s="25">
        <v>1259380.199261586</v>
      </c>
      <c r="H104" s="25">
        <v>42558.621475953565</v>
      </c>
      <c r="I104" s="25">
        <v>3550837.6923372266</v>
      </c>
      <c r="J104" s="25">
        <v>211071.60480928695</v>
      </c>
      <c r="K104" s="25">
        <v>8201284.1723880535</v>
      </c>
      <c r="L104" s="25"/>
      <c r="M104" s="25">
        <f t="shared" si="17"/>
        <v>22329065.2</v>
      </c>
      <c r="N104" s="16">
        <f t="shared" si="18"/>
        <v>0.05804588509</v>
      </c>
      <c r="O104" s="16">
        <f t="shared" si="19"/>
        <v>1</v>
      </c>
      <c r="P104" s="17" t="s">
        <v>32</v>
      </c>
    </row>
    <row r="105" ht="14.25" customHeight="1">
      <c r="A105" s="18" t="s">
        <v>34</v>
      </c>
      <c r="B105" s="25">
        <v>1609843.6110852528</v>
      </c>
      <c r="C105" s="25">
        <v>108801.11672011492</v>
      </c>
      <c r="D105" s="25">
        <v>665864.5543954397</v>
      </c>
      <c r="E105" s="25">
        <v>2880159.760472635</v>
      </c>
      <c r="F105" s="25">
        <v>3799263.86390584</v>
      </c>
      <c r="G105" s="25">
        <v>1259380.199261586</v>
      </c>
      <c r="H105" s="25">
        <v>42558.621475953565</v>
      </c>
      <c r="I105" s="25">
        <v>3550837.6923372266</v>
      </c>
      <c r="J105" s="25">
        <v>211071.60480928695</v>
      </c>
      <c r="K105" s="25">
        <v>8201284.1723880535</v>
      </c>
      <c r="L105" s="25"/>
      <c r="M105" s="25">
        <f t="shared" si="17"/>
        <v>22329065.2</v>
      </c>
      <c r="N105" s="16">
        <f t="shared" si="18"/>
        <v>0.05804588509</v>
      </c>
      <c r="O105" s="16">
        <f t="shared" si="19"/>
        <v>1</v>
      </c>
      <c r="P105" s="19" t="s">
        <v>34</v>
      </c>
    </row>
    <row r="106" ht="14.25" customHeight="1">
      <c r="A106" s="13" t="s">
        <v>35</v>
      </c>
      <c r="B106" s="25">
        <v>1287874.8888682025</v>
      </c>
      <c r="C106" s="25">
        <v>87040.89337609196</v>
      </c>
      <c r="D106" s="25">
        <v>532691.6435163518</v>
      </c>
      <c r="E106" s="25">
        <v>2304127.808378108</v>
      </c>
      <c r="F106" s="25">
        <v>3041626.781730241</v>
      </c>
      <c r="G106" s="25">
        <v>1007504.159409269</v>
      </c>
      <c r="H106" s="25">
        <v>34046.897180762855</v>
      </c>
      <c r="I106" s="25">
        <v>2840670.1538697816</v>
      </c>
      <c r="J106" s="25">
        <v>168857.28384742956</v>
      </c>
      <c r="K106" s="25">
        <v>6561027.337910444</v>
      </c>
      <c r="L106" s="25"/>
      <c r="M106" s="25">
        <f t="shared" si="17"/>
        <v>17865467.85</v>
      </c>
      <c r="N106" s="16">
        <f t="shared" si="18"/>
        <v>0.04644246791</v>
      </c>
      <c r="O106" s="16">
        <f t="shared" si="19"/>
        <v>0.800099229</v>
      </c>
      <c r="P106" s="17" t="s">
        <v>35</v>
      </c>
    </row>
    <row r="107" ht="14.25" customHeight="1">
      <c r="A107" s="18" t="s">
        <v>36</v>
      </c>
      <c r="B107" s="25">
        <v>1607512.2757630236</v>
      </c>
      <c r="C107" s="25">
        <v>108801.11672011491</v>
      </c>
      <c r="D107" s="25">
        <v>665864.5543954397</v>
      </c>
      <c r="E107" s="25">
        <v>2880159.760472635</v>
      </c>
      <c r="F107" s="25">
        <v>3799556.017581343</v>
      </c>
      <c r="G107" s="25">
        <v>1259380.199261586</v>
      </c>
      <c r="H107" s="25">
        <v>42558.621475953565</v>
      </c>
      <c r="I107" s="25">
        <v>3550837.6923372266</v>
      </c>
      <c r="J107" s="25">
        <v>211071.60480928695</v>
      </c>
      <c r="K107" s="25">
        <v>8201284.1723880535</v>
      </c>
      <c r="L107" s="25"/>
      <c r="M107" s="25">
        <f t="shared" si="17"/>
        <v>22327026.02</v>
      </c>
      <c r="N107" s="16">
        <f t="shared" si="18"/>
        <v>0.05804058411</v>
      </c>
      <c r="O107" s="16">
        <f t="shared" si="19"/>
        <v>0.9999086759</v>
      </c>
      <c r="P107" s="19" t="s">
        <v>36</v>
      </c>
    </row>
    <row r="108" ht="14.25" customHeight="1">
      <c r="A108" s="13" t="s">
        <v>38</v>
      </c>
      <c r="B108" s="25">
        <f t="shared" ref="B108:N108" si="20">SUM(B90:B107)</f>
        <v>27729750.3</v>
      </c>
      <c r="C108" s="25">
        <f t="shared" si="20"/>
        <v>1874487.811</v>
      </c>
      <c r="D108" s="25">
        <f t="shared" si="20"/>
        <v>11464419.4</v>
      </c>
      <c r="E108" s="25">
        <f t="shared" si="20"/>
        <v>49621038.16</v>
      </c>
      <c r="F108" s="25">
        <f t="shared" si="20"/>
        <v>65452228.66</v>
      </c>
      <c r="G108" s="25">
        <f t="shared" si="20"/>
        <v>21697321.72</v>
      </c>
      <c r="H108" s="25">
        <f t="shared" si="20"/>
        <v>733224.25</v>
      </c>
      <c r="I108" s="25">
        <f t="shared" si="20"/>
        <v>61174211.44</v>
      </c>
      <c r="J108" s="25">
        <f t="shared" si="20"/>
        <v>3636462.22</v>
      </c>
      <c r="K108" s="25">
        <f t="shared" si="20"/>
        <v>141296410.2</v>
      </c>
      <c r="L108" s="25">
        <f t="shared" si="20"/>
        <v>0</v>
      </c>
      <c r="M108" s="25">
        <f t="shared" si="20"/>
        <v>384679554.1</v>
      </c>
      <c r="N108" s="12">
        <f t="shared" si="20"/>
        <v>1</v>
      </c>
    </row>
    <row r="109" ht="14.25" customHeight="1"/>
    <row r="110" ht="14.25" customHeight="1"/>
    <row r="111" ht="14.25" customHeight="1">
      <c r="B111" s="6" t="s">
        <v>77</v>
      </c>
      <c r="C111" s="6" t="s">
        <v>78</v>
      </c>
      <c r="D111" s="6" t="s">
        <v>79</v>
      </c>
      <c r="E111" s="6" t="s">
        <v>80</v>
      </c>
      <c r="F111" s="6" t="s">
        <v>81</v>
      </c>
      <c r="G111" s="6"/>
      <c r="H111" s="6" t="s">
        <v>82</v>
      </c>
      <c r="I111" s="6" t="s">
        <v>83</v>
      </c>
      <c r="J111" s="6" t="s">
        <v>84</v>
      </c>
      <c r="K111" s="6" t="s">
        <v>85</v>
      </c>
      <c r="L111" s="6" t="s">
        <v>86</v>
      </c>
      <c r="M111" s="6" t="s">
        <v>4</v>
      </c>
    </row>
    <row r="112" ht="14.25" customHeight="1">
      <c r="A112" s="13" t="s">
        <v>5</v>
      </c>
      <c r="B112" s="25">
        <v>395311.1247810946</v>
      </c>
      <c r="C112" s="25">
        <v>4546341.053532931</v>
      </c>
      <c r="D112" s="25"/>
      <c r="E112" s="28">
        <v>6844972.77</v>
      </c>
      <c r="F112" s="25"/>
      <c r="G112" s="25"/>
      <c r="H112" s="25">
        <v>43534.72736318408</v>
      </c>
      <c r="I112" s="25">
        <v>4676952.384245431</v>
      </c>
      <c r="J112" s="28"/>
      <c r="K112" s="28">
        <v>317849.67</v>
      </c>
      <c r="L112" s="28">
        <v>1.07682413E7</v>
      </c>
      <c r="M112" s="25">
        <f t="shared" ref="M112:M129" si="21">SUM(B112:L112)</f>
        <v>27593203.03</v>
      </c>
      <c r="N112" s="16">
        <f t="shared" ref="N112:N129" si="22">M112/SUM($M$112:$M$129)</f>
        <v>0.05804370776</v>
      </c>
      <c r="O112" s="16">
        <f t="shared" ref="O112:O129" si="23">N112/$N$90</f>
        <v>0.9999624894</v>
      </c>
      <c r="P112" s="17" t="s">
        <v>5</v>
      </c>
    </row>
    <row r="113" ht="14.25" customHeight="1">
      <c r="A113" s="18" t="s">
        <v>18</v>
      </c>
      <c r="B113" s="25">
        <v>395311.1247810946</v>
      </c>
      <c r="C113" s="25">
        <v>4546341.053532931</v>
      </c>
      <c r="D113" s="25"/>
      <c r="E113" s="28">
        <v>6844972.77</v>
      </c>
      <c r="F113" s="25"/>
      <c r="G113" s="25"/>
      <c r="H113" s="25">
        <v>43534.72736318408</v>
      </c>
      <c r="I113" s="25">
        <v>4676952.384245431</v>
      </c>
      <c r="J113" s="28"/>
      <c r="K113" s="28">
        <v>317849.67</v>
      </c>
      <c r="L113" s="28">
        <v>1.07682413E7</v>
      </c>
      <c r="M113" s="25">
        <f t="shared" si="21"/>
        <v>27593203.03</v>
      </c>
      <c r="N113" s="16">
        <f t="shared" si="22"/>
        <v>0.05804370776</v>
      </c>
      <c r="O113" s="16">
        <f t="shared" si="23"/>
        <v>0.9999624894</v>
      </c>
      <c r="P113" s="19" t="s">
        <v>18</v>
      </c>
    </row>
    <row r="114" ht="14.25" customHeight="1">
      <c r="A114" s="13" t="s">
        <v>20</v>
      </c>
      <c r="B114" s="25">
        <v>395311.1247810946</v>
      </c>
      <c r="C114" s="25">
        <v>4546341.053532931</v>
      </c>
      <c r="D114" s="25"/>
      <c r="E114" s="28">
        <v>6844972.77</v>
      </c>
      <c r="F114" s="25"/>
      <c r="G114" s="25"/>
      <c r="H114" s="25">
        <v>43534.72736318408</v>
      </c>
      <c r="I114" s="25">
        <v>4676952.384245431</v>
      </c>
      <c r="J114" s="28"/>
      <c r="K114" s="28">
        <v>317849.67</v>
      </c>
      <c r="L114" s="28">
        <v>1.07682413E7</v>
      </c>
      <c r="M114" s="25">
        <f t="shared" si="21"/>
        <v>27593203.03</v>
      </c>
      <c r="N114" s="16">
        <f t="shared" si="22"/>
        <v>0.05804370776</v>
      </c>
      <c r="O114" s="16">
        <f t="shared" si="23"/>
        <v>0.9999624894</v>
      </c>
      <c r="P114" s="17" t="s">
        <v>20</v>
      </c>
    </row>
    <row r="115" ht="14.25" customHeight="1">
      <c r="A115" s="18" t="s">
        <v>21</v>
      </c>
      <c r="B115" s="25">
        <v>395311.1247810946</v>
      </c>
      <c r="C115" s="25">
        <v>4546341.053532931</v>
      </c>
      <c r="D115" s="25"/>
      <c r="E115" s="28">
        <v>6831865.28</v>
      </c>
      <c r="F115" s="25"/>
      <c r="G115" s="25"/>
      <c r="H115" s="25">
        <v>43534.72736318408</v>
      </c>
      <c r="I115" s="25">
        <v>4676952.384245431</v>
      </c>
      <c r="J115" s="28"/>
      <c r="K115" s="28">
        <v>317849.67</v>
      </c>
      <c r="L115" s="28">
        <v>1.07682413E7</v>
      </c>
      <c r="M115" s="25">
        <f t="shared" si="21"/>
        <v>27580095.54</v>
      </c>
      <c r="N115" s="16">
        <f t="shared" si="22"/>
        <v>0.05801613548</v>
      </c>
      <c r="O115" s="16">
        <f t="shared" si="23"/>
        <v>0.9994874811</v>
      </c>
      <c r="P115" s="19" t="s">
        <v>21</v>
      </c>
    </row>
    <row r="116" ht="14.25" customHeight="1">
      <c r="A116" s="13" t="s">
        <v>22</v>
      </c>
      <c r="B116" s="25">
        <v>282365.0891293533</v>
      </c>
      <c r="C116" s="25">
        <v>3247386.466809236</v>
      </c>
      <c r="D116" s="25"/>
      <c r="E116" s="28">
        <v>4892854.75</v>
      </c>
      <c r="F116" s="25"/>
      <c r="G116" s="25"/>
      <c r="H116" s="25">
        <v>31096.233830845773</v>
      </c>
      <c r="I116" s="25">
        <v>3340680.274461022</v>
      </c>
      <c r="J116" s="28"/>
      <c r="K116" s="28">
        <v>227035.48</v>
      </c>
      <c r="L116" s="28">
        <v>7691600.93</v>
      </c>
      <c r="M116" s="25">
        <f t="shared" si="21"/>
        <v>19713019.22</v>
      </c>
      <c r="N116" s="16">
        <f t="shared" si="22"/>
        <v>0.04146733982</v>
      </c>
      <c r="O116" s="16">
        <f t="shared" si="23"/>
        <v>0.7143889658</v>
      </c>
      <c r="P116" s="17" t="s">
        <v>22</v>
      </c>
    </row>
    <row r="117" ht="14.25" customHeight="1">
      <c r="A117" s="18" t="s">
        <v>23</v>
      </c>
      <c r="B117" s="25">
        <v>395311.1247810946</v>
      </c>
      <c r="C117" s="25">
        <v>4546341.053532931</v>
      </c>
      <c r="D117" s="25"/>
      <c r="E117" s="28">
        <v>6844972.77</v>
      </c>
      <c r="F117" s="25"/>
      <c r="G117" s="25"/>
      <c r="H117" s="25">
        <v>43534.72736318408</v>
      </c>
      <c r="I117" s="25">
        <v>4676952.384245431</v>
      </c>
      <c r="J117" s="28"/>
      <c r="K117" s="28">
        <v>317849.67</v>
      </c>
      <c r="L117" s="28">
        <v>1.07682413E7</v>
      </c>
      <c r="M117" s="25">
        <f t="shared" si="21"/>
        <v>27593203.03</v>
      </c>
      <c r="N117" s="16">
        <f t="shared" si="22"/>
        <v>0.05804370776</v>
      </c>
      <c r="O117" s="16">
        <f t="shared" si="23"/>
        <v>0.9999624894</v>
      </c>
      <c r="P117" s="19" t="s">
        <v>23</v>
      </c>
    </row>
    <row r="118" ht="14.25" customHeight="1">
      <c r="A118" s="13" t="s">
        <v>24</v>
      </c>
      <c r="B118" s="25">
        <v>282365.0891293533</v>
      </c>
      <c r="C118" s="25">
        <v>3247386.466809236</v>
      </c>
      <c r="D118" s="25"/>
      <c r="E118" s="28">
        <v>4892854.75</v>
      </c>
      <c r="F118" s="25"/>
      <c r="G118" s="25"/>
      <c r="H118" s="25">
        <v>31096.233830845773</v>
      </c>
      <c r="I118" s="25">
        <v>3340680.274461022</v>
      </c>
      <c r="J118" s="28"/>
      <c r="K118" s="28">
        <v>227035.48</v>
      </c>
      <c r="L118" s="28">
        <v>7691600.93</v>
      </c>
      <c r="M118" s="25">
        <f t="shared" si="21"/>
        <v>19713019.22</v>
      </c>
      <c r="N118" s="16">
        <f t="shared" si="22"/>
        <v>0.04146733982</v>
      </c>
      <c r="O118" s="16">
        <f t="shared" si="23"/>
        <v>0.7143889658</v>
      </c>
      <c r="P118" s="19" t="s">
        <v>24</v>
      </c>
    </row>
    <row r="119" ht="14.25" customHeight="1">
      <c r="A119" s="18" t="s">
        <v>25</v>
      </c>
      <c r="B119" s="25">
        <v>395311.1247810946</v>
      </c>
      <c r="C119" s="25">
        <v>4546341.053532931</v>
      </c>
      <c r="D119" s="25"/>
      <c r="E119" s="28">
        <v>6844972.77</v>
      </c>
      <c r="F119" s="25"/>
      <c r="G119" s="25"/>
      <c r="H119" s="25">
        <v>43534.72736318408</v>
      </c>
      <c r="I119" s="25">
        <v>4676952.384245431</v>
      </c>
      <c r="J119" s="28"/>
      <c r="K119" s="28">
        <v>317849.67</v>
      </c>
      <c r="L119" s="29">
        <v>1.07682413E7</v>
      </c>
      <c r="M119" s="25">
        <f t="shared" si="21"/>
        <v>27593203.03</v>
      </c>
      <c r="N119" s="16">
        <f t="shared" si="22"/>
        <v>0.05804370776</v>
      </c>
      <c r="O119" s="16">
        <f t="shared" si="23"/>
        <v>0.9999624894</v>
      </c>
      <c r="P119" s="19" t="s">
        <v>25</v>
      </c>
    </row>
    <row r="120" ht="14.25" customHeight="1">
      <c r="A120" s="13" t="s">
        <v>26</v>
      </c>
      <c r="B120" s="25">
        <v>395311.1247810946</v>
      </c>
      <c r="C120" s="25">
        <v>4546341.053532931</v>
      </c>
      <c r="D120" s="25"/>
      <c r="E120" s="28">
        <v>6844972.77</v>
      </c>
      <c r="F120" s="25"/>
      <c r="G120" s="25"/>
      <c r="H120" s="25">
        <v>43534.72736318408</v>
      </c>
      <c r="I120" s="25">
        <v>4676952.384245431</v>
      </c>
      <c r="J120" s="28"/>
      <c r="K120" s="28">
        <v>317849.67</v>
      </c>
      <c r="L120" s="28">
        <v>1.07682413E7</v>
      </c>
      <c r="M120" s="25">
        <f t="shared" si="21"/>
        <v>27593203.03</v>
      </c>
      <c r="N120" s="16">
        <f t="shared" si="22"/>
        <v>0.05804370776</v>
      </c>
      <c r="O120" s="16">
        <f t="shared" si="23"/>
        <v>0.9999624894</v>
      </c>
      <c r="P120" s="17" t="s">
        <v>26</v>
      </c>
    </row>
    <row r="121" ht="14.25" customHeight="1">
      <c r="A121" s="18" t="s">
        <v>27</v>
      </c>
      <c r="B121" s="25">
        <v>395311.1247810946</v>
      </c>
      <c r="C121" s="25">
        <v>4546341.053532931</v>
      </c>
      <c r="D121" s="25"/>
      <c r="E121" s="28">
        <v>6844972.77</v>
      </c>
      <c r="F121" s="25"/>
      <c r="G121" s="25"/>
      <c r="H121" s="25">
        <v>43534.72736318408</v>
      </c>
      <c r="I121" s="25">
        <v>4676952.384245431</v>
      </c>
      <c r="J121" s="28"/>
      <c r="K121" s="28">
        <v>317849.67</v>
      </c>
      <c r="L121" s="28">
        <v>1.07682413E7</v>
      </c>
      <c r="M121" s="25">
        <f t="shared" si="21"/>
        <v>27593203.03</v>
      </c>
      <c r="N121" s="16">
        <f t="shared" si="22"/>
        <v>0.05804370776</v>
      </c>
      <c r="O121" s="16">
        <f t="shared" si="23"/>
        <v>0.9999624894</v>
      </c>
      <c r="P121" s="19" t="s">
        <v>27</v>
      </c>
    </row>
    <row r="122" ht="14.25" customHeight="1">
      <c r="A122" s="13" t="s">
        <v>28</v>
      </c>
      <c r="B122" s="25">
        <v>395311.1247810946</v>
      </c>
      <c r="C122" s="25">
        <v>4544817.738594109</v>
      </c>
      <c r="D122" s="25"/>
      <c r="E122" s="28">
        <v>6844972.77</v>
      </c>
      <c r="F122" s="25"/>
      <c r="G122" s="25"/>
      <c r="H122" s="25">
        <v>43534.72736318408</v>
      </c>
      <c r="I122" s="25">
        <v>4676952.384245431</v>
      </c>
      <c r="J122" s="28"/>
      <c r="K122" s="28">
        <v>317849.67</v>
      </c>
      <c r="L122" s="28">
        <v>1.07682413E7</v>
      </c>
      <c r="M122" s="25">
        <f t="shared" si="21"/>
        <v>27591679.71</v>
      </c>
      <c r="N122" s="16">
        <f t="shared" si="22"/>
        <v>0.05804050339</v>
      </c>
      <c r="O122" s="16">
        <f t="shared" si="23"/>
        <v>0.9999072853</v>
      </c>
      <c r="P122" s="17" t="s">
        <v>28</v>
      </c>
    </row>
    <row r="123" ht="14.25" customHeight="1">
      <c r="A123" s="18" t="s">
        <v>29</v>
      </c>
      <c r="B123" s="25">
        <v>395311.1247810946</v>
      </c>
      <c r="C123" s="25">
        <v>4546341.053532931</v>
      </c>
      <c r="D123" s="25"/>
      <c r="E123" s="28">
        <v>6844972.77</v>
      </c>
      <c r="F123" s="25"/>
      <c r="G123" s="25"/>
      <c r="H123" s="25">
        <v>43534.72736318408</v>
      </c>
      <c r="I123" s="25">
        <v>4676952.384245431</v>
      </c>
      <c r="J123" s="28"/>
      <c r="K123" s="28">
        <v>317849.67</v>
      </c>
      <c r="L123" s="29">
        <v>1.07682413E7</v>
      </c>
      <c r="M123" s="25">
        <f t="shared" si="21"/>
        <v>27593203.03</v>
      </c>
      <c r="N123" s="16">
        <f t="shared" si="22"/>
        <v>0.05804370776</v>
      </c>
      <c r="O123" s="16">
        <f t="shared" si="23"/>
        <v>0.9999624894</v>
      </c>
      <c r="P123" s="19" t="s">
        <v>29</v>
      </c>
    </row>
    <row r="124" ht="14.25" customHeight="1">
      <c r="A124" s="13" t="s">
        <v>30</v>
      </c>
      <c r="B124" s="25">
        <v>395311.1247810946</v>
      </c>
      <c r="C124" s="25">
        <v>4546341.053532931</v>
      </c>
      <c r="D124" s="25"/>
      <c r="E124" s="28">
        <v>6844972.77</v>
      </c>
      <c r="F124" s="25"/>
      <c r="G124" s="25"/>
      <c r="H124" s="25">
        <v>43534.72736318408</v>
      </c>
      <c r="I124" s="25">
        <v>4676952.384245431</v>
      </c>
      <c r="J124" s="28"/>
      <c r="K124" s="28">
        <v>317849.67</v>
      </c>
      <c r="L124" s="28">
        <v>1.07682413E7</v>
      </c>
      <c r="M124" s="25">
        <f t="shared" si="21"/>
        <v>27593203.03</v>
      </c>
      <c r="N124" s="16">
        <f t="shared" si="22"/>
        <v>0.05804370776</v>
      </c>
      <c r="O124" s="16">
        <f t="shared" si="23"/>
        <v>0.9999624894</v>
      </c>
      <c r="P124" s="17" t="s">
        <v>30</v>
      </c>
    </row>
    <row r="125" ht="14.25" customHeight="1">
      <c r="A125" s="18" t="s">
        <v>31</v>
      </c>
      <c r="B125" s="25">
        <v>395311.1247810946</v>
      </c>
      <c r="C125" s="25">
        <v>4546341.053532931</v>
      </c>
      <c r="D125" s="25"/>
      <c r="E125" s="28">
        <v>6844972.77</v>
      </c>
      <c r="F125" s="25"/>
      <c r="G125" s="25"/>
      <c r="H125" s="25">
        <v>43534.72736318408</v>
      </c>
      <c r="I125" s="25">
        <v>4676952.384245431</v>
      </c>
      <c r="J125" s="28"/>
      <c r="K125" s="28">
        <v>317849.67</v>
      </c>
      <c r="L125" s="28">
        <v>1.07682413E7</v>
      </c>
      <c r="M125" s="25">
        <f t="shared" si="21"/>
        <v>27593203.03</v>
      </c>
      <c r="N125" s="16">
        <f t="shared" si="22"/>
        <v>0.05804370776</v>
      </c>
      <c r="O125" s="16">
        <f t="shared" si="23"/>
        <v>0.9999624894</v>
      </c>
      <c r="P125" s="19" t="s">
        <v>31</v>
      </c>
    </row>
    <row r="126" ht="14.25" customHeight="1">
      <c r="A126" s="13" t="s">
        <v>32</v>
      </c>
      <c r="B126" s="25">
        <v>395311.1247810946</v>
      </c>
      <c r="C126" s="25">
        <v>4546341.053532931</v>
      </c>
      <c r="D126" s="25"/>
      <c r="E126" s="28">
        <v>6844972.77</v>
      </c>
      <c r="F126" s="25"/>
      <c r="G126" s="25"/>
      <c r="H126" s="25">
        <v>43534.72736318408</v>
      </c>
      <c r="I126" s="25">
        <v>4676952.384245431</v>
      </c>
      <c r="J126" s="28"/>
      <c r="K126" s="28">
        <v>317849.67</v>
      </c>
      <c r="L126" s="28">
        <v>1.07682413E7</v>
      </c>
      <c r="M126" s="25">
        <f t="shared" si="21"/>
        <v>27593203.03</v>
      </c>
      <c r="N126" s="16">
        <f t="shared" si="22"/>
        <v>0.05804370776</v>
      </c>
      <c r="O126" s="16">
        <f t="shared" si="23"/>
        <v>0.9999624894</v>
      </c>
      <c r="P126" s="17" t="s">
        <v>32</v>
      </c>
    </row>
    <row r="127" ht="14.25" customHeight="1">
      <c r="A127" s="18" t="s">
        <v>34</v>
      </c>
      <c r="B127" s="25">
        <v>395311.1247810946</v>
      </c>
      <c r="C127" s="25">
        <v>4546341.053532931</v>
      </c>
      <c r="D127" s="25"/>
      <c r="E127" s="28">
        <v>6844972.77</v>
      </c>
      <c r="F127" s="25"/>
      <c r="G127" s="25"/>
      <c r="H127" s="25">
        <v>43534.72736318408</v>
      </c>
      <c r="I127" s="25">
        <v>4676952.384245431</v>
      </c>
      <c r="J127" s="28"/>
      <c r="K127" s="28">
        <v>317849.67</v>
      </c>
      <c r="L127" s="28">
        <v>1.07682413E7</v>
      </c>
      <c r="M127" s="25">
        <f t="shared" si="21"/>
        <v>27593203.03</v>
      </c>
      <c r="N127" s="16">
        <f t="shared" si="22"/>
        <v>0.05804370776</v>
      </c>
      <c r="O127" s="16">
        <f t="shared" si="23"/>
        <v>0.9999624894</v>
      </c>
      <c r="P127" s="19" t="s">
        <v>34</v>
      </c>
    </row>
    <row r="128" ht="14.25" customHeight="1">
      <c r="A128" s="13" t="s">
        <v>35</v>
      </c>
      <c r="B128" s="25">
        <v>316248.89982487576</v>
      </c>
      <c r="C128" s="25">
        <v>3637072.842826345</v>
      </c>
      <c r="D128" s="25"/>
      <c r="E128" s="28">
        <v>5478599.71</v>
      </c>
      <c r="F128" s="25"/>
      <c r="G128" s="25"/>
      <c r="H128" s="25">
        <v>34827.78189054727</v>
      </c>
      <c r="I128" s="25">
        <v>3741561.9073963454</v>
      </c>
      <c r="J128" s="28"/>
      <c r="K128" s="28">
        <v>254279.74</v>
      </c>
      <c r="L128" s="28">
        <v>8614593.04</v>
      </c>
      <c r="M128" s="25">
        <f t="shared" si="21"/>
        <v>22077183.92</v>
      </c>
      <c r="N128" s="16">
        <f t="shared" si="22"/>
        <v>0.04644048066</v>
      </c>
      <c r="O128" s="16">
        <f t="shared" si="23"/>
        <v>0.8000649931</v>
      </c>
      <c r="P128" s="17" t="s">
        <v>35</v>
      </c>
    </row>
    <row r="129" ht="14.25" customHeight="1">
      <c r="A129" s="18" t="s">
        <v>36</v>
      </c>
      <c r="B129" s="25">
        <v>395311.1247810946</v>
      </c>
      <c r="C129" s="25">
        <v>4546341.053532931</v>
      </c>
      <c r="D129" s="25"/>
      <c r="E129" s="28">
        <v>6844972.77</v>
      </c>
      <c r="F129" s="25"/>
      <c r="G129" s="25"/>
      <c r="H129" s="25">
        <v>43534.72736318408</v>
      </c>
      <c r="I129" s="25">
        <v>4676952.384245431</v>
      </c>
      <c r="J129" s="28"/>
      <c r="K129" s="28">
        <v>317849.67</v>
      </c>
      <c r="L129" s="28">
        <v>1.07682413E7</v>
      </c>
      <c r="M129" s="25">
        <f t="shared" si="21"/>
        <v>27593203.03</v>
      </c>
      <c r="N129" s="16">
        <f t="shared" si="22"/>
        <v>0.05804370776</v>
      </c>
      <c r="O129" s="16">
        <f t="shared" si="23"/>
        <v>0.9999624894</v>
      </c>
      <c r="P129" s="19" t="s">
        <v>36</v>
      </c>
    </row>
    <row r="130" ht="14.25" customHeight="1">
      <c r="A130" s="13" t="s">
        <v>38</v>
      </c>
      <c r="B130" s="25">
        <f t="shared" ref="B130:N130" si="24">SUM(B112:B129)</f>
        <v>6810645.95</v>
      </c>
      <c r="C130" s="25">
        <f t="shared" si="24"/>
        <v>78325438.26</v>
      </c>
      <c r="D130" s="25">
        <f t="shared" si="24"/>
        <v>0</v>
      </c>
      <c r="E130" s="25">
        <f t="shared" si="24"/>
        <v>117925793.3</v>
      </c>
      <c r="F130" s="25">
        <f t="shared" si="24"/>
        <v>0</v>
      </c>
      <c r="G130" s="25">
        <f t="shared" si="24"/>
        <v>0</v>
      </c>
      <c r="H130" s="25">
        <f t="shared" si="24"/>
        <v>750041.16</v>
      </c>
      <c r="I130" s="25">
        <f t="shared" si="24"/>
        <v>80577208.22</v>
      </c>
      <c r="J130" s="25">
        <f t="shared" si="24"/>
        <v>0</v>
      </c>
      <c r="K130" s="25">
        <f t="shared" si="24"/>
        <v>5476095.75</v>
      </c>
      <c r="L130" s="25">
        <f t="shared" si="24"/>
        <v>185521414.4</v>
      </c>
      <c r="M130" s="25">
        <f t="shared" si="24"/>
        <v>475386637</v>
      </c>
      <c r="N130" s="12">
        <f t="shared" si="24"/>
        <v>1</v>
      </c>
    </row>
    <row r="131" ht="14.25" customHeight="1"/>
    <row r="132" ht="14.25" customHeight="1"/>
    <row r="133" ht="14.25" customHeight="1">
      <c r="B133" s="30" t="s">
        <v>87</v>
      </c>
      <c r="C133" s="30" t="s">
        <v>88</v>
      </c>
      <c r="D133" s="30" t="s">
        <v>89</v>
      </c>
      <c r="E133" s="30" t="s">
        <v>90</v>
      </c>
      <c r="F133" s="30"/>
      <c r="G133" s="6"/>
      <c r="H133" s="30" t="s">
        <v>91</v>
      </c>
      <c r="I133" s="30" t="s">
        <v>92</v>
      </c>
      <c r="J133" s="30" t="s">
        <v>93</v>
      </c>
      <c r="K133" s="30" t="s">
        <v>94</v>
      </c>
      <c r="L133" s="6"/>
      <c r="M133" s="6" t="s">
        <v>4</v>
      </c>
    </row>
    <row r="134" ht="14.25" customHeight="1">
      <c r="A134" s="13" t="s">
        <v>5</v>
      </c>
      <c r="B134" s="28">
        <v>363376.54</v>
      </c>
      <c r="C134" s="28">
        <v>6373434.69</v>
      </c>
      <c r="D134" s="28">
        <v>3495006.12</v>
      </c>
      <c r="E134" s="28">
        <v>1441568.98</v>
      </c>
      <c r="F134" s="25"/>
      <c r="G134" s="25"/>
      <c r="H134" s="28">
        <v>63325.83</v>
      </c>
      <c r="I134" s="28">
        <v>6638669.96</v>
      </c>
      <c r="J134" s="28">
        <v>272751.24</v>
      </c>
      <c r="K134" s="28">
        <v>1.046309653E7</v>
      </c>
      <c r="L134" s="28"/>
      <c r="M134" s="25">
        <f t="shared" ref="M134:M135" si="25">SUM(B134:L134)</f>
        <v>29111229.89</v>
      </c>
      <c r="N134" s="16">
        <f t="shared" ref="N134:N155" si="26">M134/SUM($M$134:$M$153)</f>
        <v>0.05809495367</v>
      </c>
      <c r="O134" s="16">
        <f t="shared" ref="O134:O154" si="27">N134/$N$134</f>
        <v>1</v>
      </c>
      <c r="P134" s="17" t="s">
        <v>5</v>
      </c>
    </row>
    <row r="135" ht="14.25" customHeight="1">
      <c r="A135" s="18" t="s">
        <v>18</v>
      </c>
      <c r="B135" s="28">
        <v>363376.54</v>
      </c>
      <c r="C135" s="28">
        <v>6373434.69</v>
      </c>
      <c r="D135" s="28">
        <v>3495006.12</v>
      </c>
      <c r="E135" s="28">
        <v>1441568.98</v>
      </c>
      <c r="F135" s="25"/>
      <c r="G135" s="25"/>
      <c r="H135" s="28">
        <v>63325.83</v>
      </c>
      <c r="I135" s="28">
        <v>6638669.96</v>
      </c>
      <c r="J135" s="28">
        <v>272751.24</v>
      </c>
      <c r="K135" s="28">
        <v>1.046309653E7</v>
      </c>
      <c r="L135" s="28"/>
      <c r="M135" s="25">
        <f t="shared" si="25"/>
        <v>29111229.89</v>
      </c>
      <c r="N135" s="16">
        <f t="shared" si="26"/>
        <v>0.05809495367</v>
      </c>
      <c r="O135" s="16">
        <f t="shared" si="27"/>
        <v>1</v>
      </c>
      <c r="P135" s="19" t="s">
        <v>18</v>
      </c>
    </row>
    <row r="136" ht="14.25" customHeight="1">
      <c r="A136" s="31" t="s">
        <v>19</v>
      </c>
      <c r="B136" s="28">
        <v>0.0</v>
      </c>
      <c r="C136" s="28">
        <v>0.0</v>
      </c>
      <c r="D136" s="28">
        <v>0.0</v>
      </c>
      <c r="E136" s="28">
        <v>0.0</v>
      </c>
      <c r="F136" s="25"/>
      <c r="G136" s="25"/>
      <c r="H136" s="28">
        <v>0.0</v>
      </c>
      <c r="I136" s="28">
        <v>0.0</v>
      </c>
      <c r="J136" s="28">
        <v>0.0</v>
      </c>
      <c r="K136" s="28">
        <v>0.0</v>
      </c>
      <c r="L136" s="28"/>
      <c r="M136" s="25"/>
      <c r="N136" s="16">
        <f t="shared" si="26"/>
        <v>0</v>
      </c>
      <c r="O136" s="16">
        <f t="shared" si="27"/>
        <v>0</v>
      </c>
      <c r="P136" s="32"/>
    </row>
    <row r="137" ht="14.25" customHeight="1">
      <c r="A137" s="13" t="s">
        <v>20</v>
      </c>
      <c r="B137" s="28">
        <v>363376.54</v>
      </c>
      <c r="C137" s="28">
        <v>6373434.69</v>
      </c>
      <c r="D137" s="28">
        <v>3495006.12</v>
      </c>
      <c r="E137" s="28">
        <v>1441568.98</v>
      </c>
      <c r="F137" s="25"/>
      <c r="G137" s="25"/>
      <c r="H137" s="28">
        <v>63325.83</v>
      </c>
      <c r="I137" s="28">
        <v>6638669.96</v>
      </c>
      <c r="J137" s="28">
        <v>272751.24</v>
      </c>
      <c r="K137" s="28">
        <v>1.046309653E7</v>
      </c>
      <c r="L137" s="28"/>
      <c r="M137" s="25">
        <f t="shared" ref="M137:M149" si="28">SUM(B137:L137)</f>
        <v>29111229.89</v>
      </c>
      <c r="N137" s="16">
        <f t="shared" si="26"/>
        <v>0.05809495367</v>
      </c>
      <c r="O137" s="16">
        <f t="shared" si="27"/>
        <v>1</v>
      </c>
      <c r="P137" s="17" t="s">
        <v>20</v>
      </c>
    </row>
    <row r="138" ht="14.25" customHeight="1">
      <c r="A138" s="18" t="s">
        <v>21</v>
      </c>
      <c r="B138" s="28">
        <v>363376.54</v>
      </c>
      <c r="C138" s="28">
        <v>6373434.69</v>
      </c>
      <c r="D138" s="28">
        <v>3495006.12</v>
      </c>
      <c r="E138" s="28">
        <v>1441568.98</v>
      </c>
      <c r="F138" s="25"/>
      <c r="G138" s="25"/>
      <c r="H138" s="28">
        <v>63325.83</v>
      </c>
      <c r="I138" s="28">
        <v>6638669.96</v>
      </c>
      <c r="J138" s="28">
        <v>272751.24</v>
      </c>
      <c r="K138" s="28">
        <v>1.046309653E7</v>
      </c>
      <c r="L138" s="28"/>
      <c r="M138" s="25">
        <f t="shared" si="28"/>
        <v>29111229.89</v>
      </c>
      <c r="N138" s="16">
        <f t="shared" si="26"/>
        <v>0.05809495367</v>
      </c>
      <c r="O138" s="16">
        <f t="shared" si="27"/>
        <v>1</v>
      </c>
      <c r="P138" s="19" t="s">
        <v>21</v>
      </c>
    </row>
    <row r="139" ht="14.25" customHeight="1">
      <c r="A139" s="13" t="s">
        <v>22</v>
      </c>
      <c r="B139" s="28">
        <v>259554.67</v>
      </c>
      <c r="C139" s="28">
        <v>4552453.35</v>
      </c>
      <c r="D139" s="28">
        <v>2496432.94</v>
      </c>
      <c r="E139" s="28">
        <v>1030506.76</v>
      </c>
      <c r="F139" s="25"/>
      <c r="G139" s="25"/>
      <c r="H139" s="28">
        <v>45232.74</v>
      </c>
      <c r="I139" s="28">
        <v>4741907.11</v>
      </c>
      <c r="J139" s="28">
        <v>194822.31</v>
      </c>
      <c r="K139" s="28">
        <v>7478881.12</v>
      </c>
      <c r="L139" s="28"/>
      <c r="M139" s="25">
        <f t="shared" si="28"/>
        <v>20799791</v>
      </c>
      <c r="N139" s="16">
        <f t="shared" si="26"/>
        <v>0.04150847968</v>
      </c>
      <c r="O139" s="16">
        <f t="shared" si="27"/>
        <v>0.7144937221</v>
      </c>
      <c r="P139" s="17" t="s">
        <v>22</v>
      </c>
    </row>
    <row r="140" ht="14.25" customHeight="1">
      <c r="A140" s="18" t="s">
        <v>23</v>
      </c>
      <c r="B140" s="28">
        <v>363376.54</v>
      </c>
      <c r="C140" s="28">
        <v>6373434.69</v>
      </c>
      <c r="D140" s="28">
        <v>3495006.12</v>
      </c>
      <c r="E140" s="28">
        <v>1441568.98</v>
      </c>
      <c r="F140" s="25"/>
      <c r="G140" s="25"/>
      <c r="H140" s="28">
        <v>63325.83</v>
      </c>
      <c r="I140" s="28">
        <v>6638669.96</v>
      </c>
      <c r="J140" s="28">
        <v>272751.24</v>
      </c>
      <c r="K140" s="28">
        <v>1.046309653E7</v>
      </c>
      <c r="L140" s="28"/>
      <c r="M140" s="25">
        <f t="shared" si="28"/>
        <v>29111229.89</v>
      </c>
      <c r="N140" s="16">
        <f t="shared" si="26"/>
        <v>0.05809495367</v>
      </c>
      <c r="O140" s="16">
        <f t="shared" si="27"/>
        <v>1</v>
      </c>
      <c r="P140" s="19" t="s">
        <v>23</v>
      </c>
      <c r="T140" s="33">
        <v>5.0</v>
      </c>
      <c r="U140" s="34">
        <v>0.71428571</v>
      </c>
      <c r="V140" s="34">
        <f>U140*T140</f>
        <v>3.57142855</v>
      </c>
    </row>
    <row r="141" ht="14.25" customHeight="1">
      <c r="A141" s="13" t="s">
        <v>24</v>
      </c>
      <c r="B141" s="28">
        <v>259554.67</v>
      </c>
      <c r="C141" s="28">
        <v>4552453.35</v>
      </c>
      <c r="D141" s="28">
        <v>2496432.94</v>
      </c>
      <c r="E141" s="28">
        <v>1030506.76</v>
      </c>
      <c r="F141" s="25"/>
      <c r="G141" s="25"/>
      <c r="H141" s="28">
        <v>45232.74</v>
      </c>
      <c r="I141" s="28">
        <v>4741907.11</v>
      </c>
      <c r="J141" s="28">
        <v>194822.31</v>
      </c>
      <c r="K141" s="28">
        <v>7474068.02</v>
      </c>
      <c r="L141" s="28"/>
      <c r="M141" s="25">
        <f t="shared" si="28"/>
        <v>20794977.9</v>
      </c>
      <c r="N141" s="16">
        <f t="shared" si="26"/>
        <v>0.04149887456</v>
      </c>
      <c r="O141" s="16">
        <f t="shared" si="27"/>
        <v>0.7143283873</v>
      </c>
      <c r="P141" s="19" t="s">
        <v>24</v>
      </c>
      <c r="T141" s="33">
        <v>3.0</v>
      </c>
      <c r="U141" s="34">
        <v>0.85714286</v>
      </c>
      <c r="V141" s="34">
        <v>2.57142857</v>
      </c>
    </row>
    <row r="142" ht="14.25" customHeight="1">
      <c r="A142" s="18" t="s">
        <v>25</v>
      </c>
      <c r="B142" s="28">
        <v>363376.54</v>
      </c>
      <c r="C142" s="28">
        <v>6373434.69</v>
      </c>
      <c r="D142" s="28">
        <v>3495006.12</v>
      </c>
      <c r="E142" s="28">
        <v>1441568.98</v>
      </c>
      <c r="F142" s="25"/>
      <c r="G142" s="25"/>
      <c r="H142" s="28">
        <v>63325.83</v>
      </c>
      <c r="I142" s="28">
        <v>6638669.96</v>
      </c>
      <c r="J142" s="28">
        <v>272751.24</v>
      </c>
      <c r="K142" s="28">
        <v>1.046309653E7</v>
      </c>
      <c r="L142" s="29"/>
      <c r="M142" s="25">
        <f t="shared" si="28"/>
        <v>29111229.89</v>
      </c>
      <c r="N142" s="16">
        <f t="shared" si="26"/>
        <v>0.05809495367</v>
      </c>
      <c r="O142" s="16">
        <f t="shared" si="27"/>
        <v>1</v>
      </c>
      <c r="P142" s="19" t="s">
        <v>25</v>
      </c>
      <c r="T142" s="33">
        <v>14.0</v>
      </c>
      <c r="U142" s="34">
        <v>1.0</v>
      </c>
      <c r="V142" s="34">
        <v>14.0</v>
      </c>
    </row>
    <row r="143" ht="14.25" customHeight="1">
      <c r="A143" s="13" t="s">
        <v>26</v>
      </c>
      <c r="B143" s="28">
        <v>363376.54</v>
      </c>
      <c r="C143" s="28">
        <v>6373434.69</v>
      </c>
      <c r="D143" s="28">
        <v>3495006.12</v>
      </c>
      <c r="E143" s="28">
        <v>1441568.98</v>
      </c>
      <c r="F143" s="25"/>
      <c r="G143" s="25"/>
      <c r="H143" s="28">
        <v>63325.83</v>
      </c>
      <c r="I143" s="28">
        <v>6638669.96</v>
      </c>
      <c r="J143" s="28">
        <v>272751.24</v>
      </c>
      <c r="K143" s="28">
        <v>1.046309653E7</v>
      </c>
      <c r="L143" s="28"/>
      <c r="M143" s="25">
        <f t="shared" si="28"/>
        <v>29111229.89</v>
      </c>
      <c r="N143" s="16">
        <f t="shared" si="26"/>
        <v>0.05809495367</v>
      </c>
      <c r="O143" s="16">
        <f t="shared" si="27"/>
        <v>1</v>
      </c>
      <c r="P143" s="17" t="s">
        <v>26</v>
      </c>
      <c r="T143" s="35"/>
      <c r="U143" s="35"/>
      <c r="V143" s="34">
        <f>SUM(V140:V142)</f>
        <v>20.14285712</v>
      </c>
    </row>
    <row r="144" ht="14.25" customHeight="1">
      <c r="A144" s="18" t="s">
        <v>27</v>
      </c>
      <c r="B144" s="28">
        <v>363376.54</v>
      </c>
      <c r="C144" s="28">
        <v>6373434.69</v>
      </c>
      <c r="D144" s="28">
        <v>3495006.12</v>
      </c>
      <c r="E144" s="28">
        <v>1441568.98</v>
      </c>
      <c r="F144" s="25"/>
      <c r="G144" s="25"/>
      <c r="H144" s="28">
        <v>63325.83</v>
      </c>
      <c r="I144" s="28">
        <v>6638669.96</v>
      </c>
      <c r="J144" s="28">
        <v>272751.24</v>
      </c>
      <c r="K144" s="28">
        <v>1.046309653E7</v>
      </c>
      <c r="L144" s="28"/>
      <c r="M144" s="25">
        <f t="shared" si="28"/>
        <v>29111229.89</v>
      </c>
      <c r="N144" s="16">
        <f t="shared" si="26"/>
        <v>0.05809495367</v>
      </c>
      <c r="O144" s="16">
        <f t="shared" si="27"/>
        <v>1</v>
      </c>
      <c r="P144" s="19" t="s">
        <v>27</v>
      </c>
    </row>
    <row r="145" ht="14.25" customHeight="1">
      <c r="A145" s="13" t="s">
        <v>28</v>
      </c>
      <c r="B145" s="28">
        <v>363376.54</v>
      </c>
      <c r="C145" s="28">
        <v>6373434.69</v>
      </c>
      <c r="D145" s="28">
        <v>3491236.68</v>
      </c>
      <c r="E145" s="28">
        <v>1426608.96</v>
      </c>
      <c r="F145" s="25"/>
      <c r="G145" s="25"/>
      <c r="H145" s="28">
        <v>63325.83</v>
      </c>
      <c r="I145" s="28">
        <v>6638669.96</v>
      </c>
      <c r="J145" s="28">
        <v>260566.69</v>
      </c>
      <c r="K145" s="28">
        <v>1.026216827E7</v>
      </c>
      <c r="L145" s="28"/>
      <c r="M145" s="25">
        <f t="shared" si="28"/>
        <v>28879387.62</v>
      </c>
      <c r="N145" s="16">
        <f t="shared" si="26"/>
        <v>0.05763228459</v>
      </c>
      <c r="O145" s="16">
        <f t="shared" si="27"/>
        <v>0.9920359851</v>
      </c>
      <c r="P145" s="17" t="s">
        <v>28</v>
      </c>
      <c r="T145" s="36"/>
      <c r="U145" s="36">
        <f>M155/V143</f>
        <v>24877175.62</v>
      </c>
      <c r="V145" s="36">
        <f>0.8571*U145</f>
        <v>21322227.22</v>
      </c>
    </row>
    <row r="146" ht="14.25" customHeight="1">
      <c r="A146" s="18" t="s">
        <v>29</v>
      </c>
      <c r="B146" s="28">
        <v>363376.54</v>
      </c>
      <c r="C146" s="28">
        <v>6373434.69</v>
      </c>
      <c r="D146" s="28">
        <v>3495006.12</v>
      </c>
      <c r="E146" s="28">
        <v>1441568.98</v>
      </c>
      <c r="F146" s="25"/>
      <c r="G146" s="25"/>
      <c r="H146" s="28">
        <v>63325.83</v>
      </c>
      <c r="I146" s="28">
        <v>6638669.96</v>
      </c>
      <c r="J146" s="28">
        <v>272751.24</v>
      </c>
      <c r="K146" s="28">
        <v>1.046309653E7</v>
      </c>
      <c r="L146" s="29"/>
      <c r="M146" s="25">
        <f t="shared" si="28"/>
        <v>29111229.89</v>
      </c>
      <c r="N146" s="16">
        <f t="shared" si="26"/>
        <v>0.05809495367</v>
      </c>
      <c r="O146" s="16">
        <f t="shared" si="27"/>
        <v>1</v>
      </c>
      <c r="P146" s="19" t="s">
        <v>29</v>
      </c>
    </row>
    <row r="147" ht="14.25" customHeight="1">
      <c r="A147" s="13" t="s">
        <v>30</v>
      </c>
      <c r="B147" s="28">
        <v>363376.54</v>
      </c>
      <c r="C147" s="28">
        <v>6373434.69</v>
      </c>
      <c r="D147" s="28">
        <v>3495006.12</v>
      </c>
      <c r="E147" s="28">
        <v>1441568.98</v>
      </c>
      <c r="F147" s="25"/>
      <c r="G147" s="25"/>
      <c r="H147" s="28">
        <v>63325.83</v>
      </c>
      <c r="I147" s="28">
        <v>6638669.96</v>
      </c>
      <c r="J147" s="28">
        <v>272751.24</v>
      </c>
      <c r="K147" s="28">
        <v>1.046309653E7</v>
      </c>
      <c r="L147" s="28"/>
      <c r="M147" s="25">
        <f t="shared" si="28"/>
        <v>29111229.89</v>
      </c>
      <c r="N147" s="16">
        <f t="shared" si="26"/>
        <v>0.05809495367</v>
      </c>
      <c r="O147" s="16">
        <f t="shared" si="27"/>
        <v>1</v>
      </c>
      <c r="P147" s="17" t="s">
        <v>30</v>
      </c>
    </row>
    <row r="148" ht="14.25" customHeight="1">
      <c r="A148" s="18" t="s">
        <v>31</v>
      </c>
      <c r="B148" s="28">
        <v>363376.54</v>
      </c>
      <c r="C148" s="28">
        <v>6373434.69</v>
      </c>
      <c r="D148" s="28">
        <v>3495006.12</v>
      </c>
      <c r="E148" s="28">
        <v>1441568.98</v>
      </c>
      <c r="F148" s="25"/>
      <c r="G148" s="25"/>
      <c r="H148" s="28">
        <v>63325.83</v>
      </c>
      <c r="I148" s="28">
        <v>6638669.96</v>
      </c>
      <c r="J148" s="28">
        <v>260566.69</v>
      </c>
      <c r="K148" s="28">
        <v>1.026951586E7</v>
      </c>
      <c r="L148" s="28"/>
      <c r="M148" s="25">
        <f t="shared" si="28"/>
        <v>28905464.67</v>
      </c>
      <c r="N148" s="16">
        <f t="shared" si="26"/>
        <v>0.05768432447</v>
      </c>
      <c r="O148" s="16">
        <f t="shared" si="27"/>
        <v>0.9929317579</v>
      </c>
      <c r="P148" s="19" t="s">
        <v>31</v>
      </c>
    </row>
    <row r="149" ht="14.25" customHeight="1">
      <c r="A149" s="13" t="s">
        <v>32</v>
      </c>
      <c r="B149" s="28">
        <v>363376.54</v>
      </c>
      <c r="C149" s="28">
        <v>6373434.69</v>
      </c>
      <c r="D149" s="28">
        <v>3495006.12</v>
      </c>
      <c r="E149" s="28">
        <v>1441568.98</v>
      </c>
      <c r="F149" s="25"/>
      <c r="G149" s="25"/>
      <c r="H149" s="28">
        <v>63325.83</v>
      </c>
      <c r="I149" s="28">
        <v>6638669.96</v>
      </c>
      <c r="J149" s="28">
        <v>272751.24</v>
      </c>
      <c r="K149" s="28">
        <v>1.046309653E7</v>
      </c>
      <c r="L149" s="28"/>
      <c r="M149" s="25">
        <f t="shared" si="28"/>
        <v>29111229.89</v>
      </c>
      <c r="N149" s="16">
        <f t="shared" si="26"/>
        <v>0.05809495367</v>
      </c>
      <c r="O149" s="16">
        <f t="shared" si="27"/>
        <v>1</v>
      </c>
      <c r="P149" s="17" t="s">
        <v>32</v>
      </c>
    </row>
    <row r="150" ht="14.25" customHeight="1">
      <c r="A150" s="37" t="s">
        <v>33</v>
      </c>
      <c r="B150" s="28"/>
      <c r="C150" s="28"/>
      <c r="D150" s="28"/>
      <c r="E150" s="28"/>
      <c r="F150" s="25"/>
      <c r="G150" s="25"/>
      <c r="H150" s="28"/>
      <c r="I150" s="28"/>
      <c r="J150" s="28"/>
      <c r="K150" s="28"/>
      <c r="L150" s="28"/>
      <c r="M150" s="25"/>
      <c r="N150" s="16">
        <f t="shared" si="26"/>
        <v>0</v>
      </c>
      <c r="O150" s="16">
        <f t="shared" si="27"/>
        <v>0</v>
      </c>
      <c r="P150" s="38" t="s">
        <v>33</v>
      </c>
    </row>
    <row r="151" ht="14.25" customHeight="1">
      <c r="A151" s="18" t="s">
        <v>34</v>
      </c>
      <c r="B151" s="28">
        <v>363376.54</v>
      </c>
      <c r="C151" s="28">
        <v>6373434.69</v>
      </c>
      <c r="D151" s="28">
        <v>3495006.12</v>
      </c>
      <c r="E151" s="28">
        <v>1441568.98</v>
      </c>
      <c r="F151" s="25"/>
      <c r="G151" s="25"/>
      <c r="H151" s="28">
        <v>63325.83</v>
      </c>
      <c r="I151" s="28">
        <v>6638669.96</v>
      </c>
      <c r="J151" s="28">
        <v>272751.24</v>
      </c>
      <c r="K151" s="28">
        <v>1.046309653E7</v>
      </c>
      <c r="L151" s="28"/>
      <c r="M151" s="25">
        <f t="shared" ref="M151:M153" si="29">SUM(B151:L151)</f>
        <v>29111229.89</v>
      </c>
      <c r="N151" s="16">
        <f t="shared" si="26"/>
        <v>0.05809495367</v>
      </c>
      <c r="O151" s="16">
        <f t="shared" si="27"/>
        <v>1</v>
      </c>
      <c r="P151" s="19" t="s">
        <v>34</v>
      </c>
    </row>
    <row r="152" ht="14.25" customHeight="1">
      <c r="A152" s="13" t="s">
        <v>35</v>
      </c>
      <c r="B152" s="28">
        <v>290701.23</v>
      </c>
      <c r="C152" s="28">
        <v>5098747.75</v>
      </c>
      <c r="D152" s="28">
        <v>2796004.9</v>
      </c>
      <c r="E152" s="28">
        <v>1153255.18</v>
      </c>
      <c r="F152" s="25"/>
      <c r="G152" s="25"/>
      <c r="H152" s="28">
        <v>50660.66</v>
      </c>
      <c r="I152" s="28">
        <v>5310935.97</v>
      </c>
      <c r="J152" s="28">
        <v>218200.99</v>
      </c>
      <c r="K152" s="28">
        <v>8370477.23</v>
      </c>
      <c r="L152" s="28"/>
      <c r="M152" s="25">
        <f t="shared" si="29"/>
        <v>23288983.91</v>
      </c>
      <c r="N152" s="16">
        <f t="shared" si="26"/>
        <v>0.04647596293</v>
      </c>
      <c r="O152" s="16">
        <f t="shared" si="27"/>
        <v>0.7999999999</v>
      </c>
      <c r="P152" s="17" t="s">
        <v>35</v>
      </c>
    </row>
    <row r="153" ht="12.75" customHeight="1">
      <c r="A153" s="18" t="s">
        <v>36</v>
      </c>
      <c r="B153" s="28">
        <v>363376.54</v>
      </c>
      <c r="C153" s="28">
        <v>6373434.69</v>
      </c>
      <c r="D153" s="28">
        <v>3495006.12</v>
      </c>
      <c r="E153" s="28">
        <v>1424369.36</v>
      </c>
      <c r="F153" s="25"/>
      <c r="G153" s="25"/>
      <c r="H153" s="28">
        <v>63325.83</v>
      </c>
      <c r="I153" s="28">
        <v>6638669.96</v>
      </c>
      <c r="J153" s="28">
        <v>272751.24</v>
      </c>
      <c r="K153" s="28">
        <v>1.046309653E7</v>
      </c>
      <c r="L153" s="28"/>
      <c r="M153" s="25">
        <f t="shared" si="29"/>
        <v>29094030.27</v>
      </c>
      <c r="N153" s="16">
        <f t="shared" si="26"/>
        <v>0.05806062976</v>
      </c>
      <c r="O153" s="16">
        <f t="shared" si="27"/>
        <v>0.9994091758</v>
      </c>
      <c r="P153" s="19" t="s">
        <v>36</v>
      </c>
    </row>
    <row r="154" ht="14.25" customHeight="1">
      <c r="A154" s="31" t="s">
        <v>37</v>
      </c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16">
        <f t="shared" si="26"/>
        <v>0</v>
      </c>
      <c r="O154" s="16">
        <f t="shared" si="27"/>
        <v>0</v>
      </c>
      <c r="P154" s="4" t="s">
        <v>37</v>
      </c>
    </row>
    <row r="155" ht="14.25" customHeight="1">
      <c r="A155" s="13" t="s">
        <v>38</v>
      </c>
      <c r="B155" s="25">
        <f t="shared" ref="B155:M155" si="30">SUM(B134:B153)</f>
        <v>6260458.67</v>
      </c>
      <c r="C155" s="25">
        <f t="shared" si="30"/>
        <v>109805174.8</v>
      </c>
      <c r="D155" s="25">
        <f t="shared" si="30"/>
        <v>60210193.14</v>
      </c>
      <c r="E155" s="25">
        <f t="shared" si="30"/>
        <v>24805643.76</v>
      </c>
      <c r="F155" s="25">
        <f t="shared" si="30"/>
        <v>0</v>
      </c>
      <c r="G155" s="25">
        <f t="shared" si="30"/>
        <v>0</v>
      </c>
      <c r="H155" s="25">
        <f t="shared" si="30"/>
        <v>1091013.59</v>
      </c>
      <c r="I155" s="25">
        <f t="shared" si="30"/>
        <v>114374799.6</v>
      </c>
      <c r="J155" s="25">
        <f t="shared" si="30"/>
        <v>4674745.11</v>
      </c>
      <c r="K155" s="25">
        <f t="shared" si="30"/>
        <v>179875365.4</v>
      </c>
      <c r="L155" s="25">
        <f t="shared" si="30"/>
        <v>0</v>
      </c>
      <c r="M155" s="25">
        <f t="shared" si="30"/>
        <v>501097394.1</v>
      </c>
      <c r="N155" s="16">
        <f t="shared" si="26"/>
        <v>1</v>
      </c>
    </row>
    <row r="156" ht="14.25" customHeight="1"/>
    <row r="157" ht="14.25" customHeight="1"/>
    <row r="158" ht="14.25" customHeight="1">
      <c r="B158" s="30" t="s">
        <v>105</v>
      </c>
      <c r="C158" s="30" t="s">
        <v>106</v>
      </c>
      <c r="D158" s="30" t="s">
        <v>107</v>
      </c>
      <c r="E158" s="30" t="s">
        <v>108</v>
      </c>
      <c r="F158" s="30" t="s">
        <v>109</v>
      </c>
      <c r="G158" s="30" t="s">
        <v>110</v>
      </c>
      <c r="H158" s="30" t="s">
        <v>111</v>
      </c>
      <c r="I158" s="30" t="s">
        <v>112</v>
      </c>
      <c r="J158" s="30" t="s">
        <v>113</v>
      </c>
      <c r="K158" s="30" t="s">
        <v>114</v>
      </c>
      <c r="L158" s="6"/>
      <c r="M158" s="6" t="s">
        <v>4</v>
      </c>
    </row>
    <row r="159" ht="14.25" customHeight="1">
      <c r="A159" s="13" t="s">
        <v>5</v>
      </c>
      <c r="B159" s="45">
        <v>1472035.94</v>
      </c>
      <c r="C159" s="45">
        <v>4060864.25</v>
      </c>
      <c r="D159" s="28">
        <v>1.229265468E7</v>
      </c>
      <c r="E159" s="28">
        <v>3.004872337E7</v>
      </c>
      <c r="F159" s="28">
        <v>5999675.07</v>
      </c>
      <c r="G159" s="46">
        <v>158631.7</v>
      </c>
      <c r="H159" s="47">
        <v>52485.61</v>
      </c>
      <c r="I159" s="48">
        <v>5208163.92</v>
      </c>
      <c r="J159" s="28">
        <v>649249.66</v>
      </c>
      <c r="K159" s="28">
        <v>7744787.8</v>
      </c>
      <c r="L159" s="28"/>
      <c r="M159" s="25">
        <f t="shared" ref="M159:M174" si="31">SUM(B159:L159)</f>
        <v>67687272</v>
      </c>
      <c r="N159" s="16">
        <f t="shared" ref="N159:N174" si="32">M159/SUM($M$159:$M$178)</f>
        <v>0.05887911473</v>
      </c>
      <c r="O159" s="16">
        <f t="shared" ref="O159:O174" si="33">N159/$N$159</f>
        <v>1</v>
      </c>
      <c r="P159" s="17" t="s">
        <v>5</v>
      </c>
    </row>
    <row r="160" ht="14.25" customHeight="1">
      <c r="A160" s="18" t="s">
        <v>18</v>
      </c>
      <c r="B160" s="48">
        <v>1472035.94</v>
      </c>
      <c r="C160" s="48">
        <v>4060864.25</v>
      </c>
      <c r="D160" s="28">
        <v>1.229265468E7</v>
      </c>
      <c r="E160" s="28">
        <v>3.004872337E7</v>
      </c>
      <c r="F160" s="28">
        <v>5999675.07</v>
      </c>
      <c r="G160" s="49">
        <v>158631.7</v>
      </c>
      <c r="H160" s="48">
        <v>52485.61</v>
      </c>
      <c r="I160" s="48">
        <v>5208163.92</v>
      </c>
      <c r="J160" s="28">
        <v>649249.66</v>
      </c>
      <c r="K160" s="28">
        <v>7744787.8</v>
      </c>
      <c r="L160" s="28"/>
      <c r="M160" s="25">
        <f t="shared" si="31"/>
        <v>67687272</v>
      </c>
      <c r="N160" s="16">
        <f t="shared" si="32"/>
        <v>0.05887911473</v>
      </c>
      <c r="O160" s="16">
        <f t="shared" si="33"/>
        <v>1</v>
      </c>
      <c r="P160" s="19" t="s">
        <v>18</v>
      </c>
    </row>
    <row r="161" ht="14.25" customHeight="1">
      <c r="A161" s="31" t="s">
        <v>19</v>
      </c>
      <c r="B161" s="48">
        <v>0.0</v>
      </c>
      <c r="C161" s="48">
        <v>0.0</v>
      </c>
      <c r="D161" s="28">
        <v>0.0</v>
      </c>
      <c r="E161" s="28">
        <v>0.0</v>
      </c>
      <c r="F161" s="28">
        <v>0.0</v>
      </c>
      <c r="G161" s="49">
        <v>125563.57</v>
      </c>
      <c r="H161" s="48">
        <v>0.0</v>
      </c>
      <c r="I161" s="48">
        <v>0.0</v>
      </c>
      <c r="J161" s="28">
        <v>352482.86</v>
      </c>
      <c r="K161" s="28">
        <v>2847565.55</v>
      </c>
      <c r="L161" s="28"/>
      <c r="M161" s="25">
        <f t="shared" si="31"/>
        <v>3325611.98</v>
      </c>
      <c r="N161" s="16">
        <f t="shared" si="32"/>
        <v>0.002892849476</v>
      </c>
      <c r="O161" s="16">
        <f t="shared" si="33"/>
        <v>0.04913201377</v>
      </c>
      <c r="P161" s="32"/>
    </row>
    <row r="162" ht="14.25" customHeight="1">
      <c r="A162" s="13" t="s">
        <v>20</v>
      </c>
      <c r="B162" s="48">
        <v>1472035.94</v>
      </c>
      <c r="C162" s="48">
        <v>4060864.25</v>
      </c>
      <c r="D162" s="28">
        <v>1.229265468E7</v>
      </c>
      <c r="E162" s="28">
        <v>3.004872337E7</v>
      </c>
      <c r="F162" s="28">
        <v>5999675.07</v>
      </c>
      <c r="G162" s="49">
        <v>158631.7</v>
      </c>
      <c r="H162" s="48">
        <v>52485.61</v>
      </c>
      <c r="I162" s="48">
        <v>5208163.92</v>
      </c>
      <c r="J162" s="28">
        <v>649249.66</v>
      </c>
      <c r="K162" s="28">
        <v>7744787.8</v>
      </c>
      <c r="L162" s="28"/>
      <c r="M162" s="25">
        <f t="shared" si="31"/>
        <v>67687272</v>
      </c>
      <c r="N162" s="16">
        <f t="shared" si="32"/>
        <v>0.05887911473</v>
      </c>
      <c r="O162" s="16">
        <f t="shared" si="33"/>
        <v>1</v>
      </c>
      <c r="P162" s="17" t="s">
        <v>20</v>
      </c>
    </row>
    <row r="163" ht="14.25" customHeight="1">
      <c r="A163" s="18" t="s">
        <v>21</v>
      </c>
      <c r="B163" s="48">
        <v>1472035.94</v>
      </c>
      <c r="C163" s="48">
        <v>4060864.25</v>
      </c>
      <c r="D163" s="28">
        <v>1.229265468E7</v>
      </c>
      <c r="E163" s="28">
        <v>1.847383201E7</v>
      </c>
      <c r="F163" s="28">
        <v>5932049.71</v>
      </c>
      <c r="G163" s="49">
        <v>158631.7</v>
      </c>
      <c r="H163" s="48">
        <v>52485.61</v>
      </c>
      <c r="I163" s="48">
        <v>5208163.92</v>
      </c>
      <c r="J163" s="28">
        <v>649249.66</v>
      </c>
      <c r="K163" s="28">
        <v>7744787.8</v>
      </c>
      <c r="L163" s="28"/>
      <c r="M163" s="25">
        <f t="shared" si="31"/>
        <v>56044755.28</v>
      </c>
      <c r="N163" s="16">
        <f t="shared" si="32"/>
        <v>0.04875164087</v>
      </c>
      <c r="O163" s="16">
        <f t="shared" si="33"/>
        <v>0.8279954802</v>
      </c>
      <c r="P163" s="19" t="s">
        <v>21</v>
      </c>
    </row>
    <row r="164" ht="14.25" customHeight="1">
      <c r="A164" s="13" t="s">
        <v>22</v>
      </c>
      <c r="B164" s="48">
        <v>1051454.24</v>
      </c>
      <c r="C164" s="48">
        <v>2901131.3</v>
      </c>
      <c r="D164" s="28">
        <v>8780467.63</v>
      </c>
      <c r="E164" s="28">
        <v>2.525580401E7</v>
      </c>
      <c r="F164" s="28">
        <v>4304803.72</v>
      </c>
      <c r="G164" s="49">
        <v>113308.36</v>
      </c>
      <c r="H164" s="48">
        <v>37489.72</v>
      </c>
      <c r="I164" s="48">
        <v>3720117.08</v>
      </c>
      <c r="J164" s="28">
        <v>463749.76</v>
      </c>
      <c r="K164" s="28">
        <v>5531991.29</v>
      </c>
      <c r="L164" s="28"/>
      <c r="M164" s="25">
        <f t="shared" si="31"/>
        <v>52160317.11</v>
      </c>
      <c r="N164" s="16">
        <f t="shared" si="32"/>
        <v>0.04537268536</v>
      </c>
      <c r="O164" s="16">
        <f t="shared" si="33"/>
        <v>0.7706074653</v>
      </c>
      <c r="P164" s="17" t="s">
        <v>22</v>
      </c>
    </row>
    <row r="165" ht="14.25" customHeight="1">
      <c r="A165" s="18" t="s">
        <v>23</v>
      </c>
      <c r="B165" s="48">
        <v>1472035.94</v>
      </c>
      <c r="C165" s="48">
        <v>4060864.25</v>
      </c>
      <c r="D165" s="28">
        <v>1.229265468E7</v>
      </c>
      <c r="E165" s="28">
        <v>3.004872337E7</v>
      </c>
      <c r="F165" s="28">
        <v>5999675.07</v>
      </c>
      <c r="G165" s="49">
        <v>158631.7</v>
      </c>
      <c r="H165" s="48">
        <v>52485.61</v>
      </c>
      <c r="I165" s="48">
        <v>5208163.92</v>
      </c>
      <c r="J165" s="28">
        <v>649249.66</v>
      </c>
      <c r="K165" s="28">
        <v>7744787.8</v>
      </c>
      <c r="L165" s="28"/>
      <c r="M165" s="25">
        <f t="shared" si="31"/>
        <v>67687272</v>
      </c>
      <c r="N165" s="16">
        <f t="shared" si="32"/>
        <v>0.05887911473</v>
      </c>
      <c r="O165" s="16">
        <f t="shared" si="33"/>
        <v>1</v>
      </c>
      <c r="P165" s="19" t="s">
        <v>23</v>
      </c>
    </row>
    <row r="166" ht="14.25" customHeight="1">
      <c r="A166" s="13" t="s">
        <v>24</v>
      </c>
      <c r="B166" s="48">
        <v>1051454.24</v>
      </c>
      <c r="C166" s="48">
        <v>2901131.3</v>
      </c>
      <c r="D166" s="28">
        <v>8780467.63</v>
      </c>
      <c r="E166" s="28">
        <v>2.174591682E7</v>
      </c>
      <c r="F166" s="28">
        <v>4286544.87</v>
      </c>
      <c r="G166" s="49">
        <v>113308.36</v>
      </c>
      <c r="H166" s="48">
        <v>37489.72</v>
      </c>
      <c r="I166" s="48">
        <v>3720117.08</v>
      </c>
      <c r="J166" s="28">
        <v>463749.76</v>
      </c>
      <c r="K166" s="28">
        <v>5531991.29</v>
      </c>
      <c r="L166" s="28"/>
      <c r="M166" s="25">
        <f t="shared" si="31"/>
        <v>48632171.07</v>
      </c>
      <c r="N166" s="16">
        <f t="shared" si="32"/>
        <v>0.04230365762</v>
      </c>
      <c r="O166" s="16">
        <f t="shared" si="33"/>
        <v>0.7184832485</v>
      </c>
      <c r="P166" s="19" t="s">
        <v>24</v>
      </c>
    </row>
    <row r="167" ht="14.25" customHeight="1">
      <c r="A167" s="18" t="s">
        <v>25</v>
      </c>
      <c r="B167" s="48">
        <v>1472035.94</v>
      </c>
      <c r="C167" s="48">
        <v>4060864.25</v>
      </c>
      <c r="D167" s="28">
        <v>1.229265468E7</v>
      </c>
      <c r="E167" s="28">
        <v>3.004872337E7</v>
      </c>
      <c r="F167" s="28">
        <v>5999675.07</v>
      </c>
      <c r="G167" s="49">
        <v>158631.7</v>
      </c>
      <c r="H167" s="48">
        <v>52485.61</v>
      </c>
      <c r="I167" s="48">
        <v>5208163.92</v>
      </c>
      <c r="J167" s="28">
        <v>649249.66</v>
      </c>
      <c r="K167" s="28">
        <v>7744787.8</v>
      </c>
      <c r="L167" s="29"/>
      <c r="M167" s="25">
        <f t="shared" si="31"/>
        <v>67687272</v>
      </c>
      <c r="N167" s="16">
        <f t="shared" si="32"/>
        <v>0.05887911473</v>
      </c>
      <c r="O167" s="16">
        <f t="shared" si="33"/>
        <v>1</v>
      </c>
      <c r="P167" s="19" t="s">
        <v>25</v>
      </c>
    </row>
    <row r="168" ht="14.25" customHeight="1">
      <c r="A168" s="13" t="s">
        <v>26</v>
      </c>
      <c r="B168" s="48">
        <v>1472035.94</v>
      </c>
      <c r="C168" s="48">
        <v>4060864.25</v>
      </c>
      <c r="D168" s="28">
        <v>1.229265468E7</v>
      </c>
      <c r="E168" s="28">
        <v>3.004872337E7</v>
      </c>
      <c r="F168" s="28">
        <v>5999675.07</v>
      </c>
      <c r="G168" s="49">
        <v>158631.7</v>
      </c>
      <c r="H168" s="48">
        <v>52485.61</v>
      </c>
      <c r="I168" s="48">
        <v>5208163.92</v>
      </c>
      <c r="J168" s="28">
        <v>649249.66</v>
      </c>
      <c r="K168" s="28">
        <v>7744787.8</v>
      </c>
      <c r="L168" s="28"/>
      <c r="M168" s="25">
        <f t="shared" si="31"/>
        <v>67687272</v>
      </c>
      <c r="N168" s="16">
        <f t="shared" si="32"/>
        <v>0.05887911473</v>
      </c>
      <c r="O168" s="16">
        <f t="shared" si="33"/>
        <v>1</v>
      </c>
      <c r="P168" s="17" t="s">
        <v>26</v>
      </c>
    </row>
    <row r="169" ht="14.25" customHeight="1">
      <c r="A169" s="18" t="s">
        <v>27</v>
      </c>
      <c r="B169" s="48">
        <v>1472035.94</v>
      </c>
      <c r="C169" s="48">
        <v>4060864.25</v>
      </c>
      <c r="D169" s="28">
        <v>1.229265468E7</v>
      </c>
      <c r="E169" s="28">
        <v>3.004872337E7</v>
      </c>
      <c r="F169" s="28">
        <v>5999675.07</v>
      </c>
      <c r="G169" s="49">
        <v>158631.7</v>
      </c>
      <c r="H169" s="48">
        <v>52485.61</v>
      </c>
      <c r="I169" s="48">
        <v>5208163.92</v>
      </c>
      <c r="J169" s="28">
        <v>649249.66</v>
      </c>
      <c r="K169" s="28">
        <v>7744787.8</v>
      </c>
      <c r="L169" s="28"/>
      <c r="M169" s="25">
        <f t="shared" si="31"/>
        <v>67687272</v>
      </c>
      <c r="N169" s="16">
        <f t="shared" si="32"/>
        <v>0.05887911473</v>
      </c>
      <c r="O169" s="16">
        <f t="shared" si="33"/>
        <v>1</v>
      </c>
      <c r="P169" s="19" t="s">
        <v>27</v>
      </c>
    </row>
    <row r="170" ht="14.25" customHeight="1">
      <c r="A170" s="13" t="s">
        <v>28</v>
      </c>
      <c r="B170" s="48">
        <v>1452131.98</v>
      </c>
      <c r="C170" s="48">
        <v>4035449.58</v>
      </c>
      <c r="D170" s="28">
        <v>1.221592027E7</v>
      </c>
      <c r="E170" s="28">
        <v>2.113616801E7</v>
      </c>
      <c r="F170" s="28">
        <v>5895022.56</v>
      </c>
      <c r="G170" s="49">
        <v>145172.64</v>
      </c>
      <c r="H170" s="48">
        <v>47237.05</v>
      </c>
      <c r="I170" s="48">
        <v>5048455.76</v>
      </c>
      <c r="J170" s="28">
        <v>584324.69</v>
      </c>
      <c r="K170" s="28">
        <v>7122169.39</v>
      </c>
      <c r="L170" s="28"/>
      <c r="M170" s="25">
        <f t="shared" si="31"/>
        <v>57682051.93</v>
      </c>
      <c r="N170" s="16">
        <f t="shared" si="32"/>
        <v>0.0501758758</v>
      </c>
      <c r="O170" s="16">
        <f t="shared" si="33"/>
        <v>0.8521846165</v>
      </c>
      <c r="P170" s="17" t="s">
        <v>28</v>
      </c>
    </row>
    <row r="171" ht="14.25" customHeight="1">
      <c r="A171" s="18" t="s">
        <v>29</v>
      </c>
      <c r="B171" s="48">
        <v>1472035.94</v>
      </c>
      <c r="C171" s="48">
        <v>4060864.25</v>
      </c>
      <c r="D171" s="28">
        <v>1.229265468E7</v>
      </c>
      <c r="E171" s="28">
        <v>3.004872337E7</v>
      </c>
      <c r="F171" s="28">
        <v>5999675.07</v>
      </c>
      <c r="G171" s="49">
        <v>158631.7</v>
      </c>
      <c r="H171" s="48">
        <v>52485.61</v>
      </c>
      <c r="I171" s="48">
        <v>5208163.92</v>
      </c>
      <c r="J171" s="28">
        <v>649249.66</v>
      </c>
      <c r="K171" s="28">
        <v>7744787.8</v>
      </c>
      <c r="L171" s="29"/>
      <c r="M171" s="25">
        <f t="shared" si="31"/>
        <v>67687272</v>
      </c>
      <c r="N171" s="16">
        <f t="shared" si="32"/>
        <v>0.05887911473</v>
      </c>
      <c r="O171" s="16">
        <f t="shared" si="33"/>
        <v>1</v>
      </c>
      <c r="P171" s="19" t="s">
        <v>29</v>
      </c>
    </row>
    <row r="172" ht="14.25" customHeight="1">
      <c r="A172" s="13" t="s">
        <v>30</v>
      </c>
      <c r="B172" s="48">
        <v>1472035.94</v>
      </c>
      <c r="C172" s="48">
        <v>4060864.25</v>
      </c>
      <c r="D172" s="28">
        <v>1.229265468E7</v>
      </c>
      <c r="E172" s="28">
        <v>3.004872337E7</v>
      </c>
      <c r="F172" s="28">
        <v>5999675.07</v>
      </c>
      <c r="G172" s="49">
        <v>158631.7</v>
      </c>
      <c r="H172" s="48">
        <v>52485.61</v>
      </c>
      <c r="I172" s="48">
        <v>5208163.92</v>
      </c>
      <c r="J172" s="28">
        <v>649249.66</v>
      </c>
      <c r="K172" s="28">
        <v>7744787.8</v>
      </c>
      <c r="L172" s="28"/>
      <c r="M172" s="25">
        <f t="shared" si="31"/>
        <v>67687272</v>
      </c>
      <c r="N172" s="16">
        <f t="shared" si="32"/>
        <v>0.05887911473</v>
      </c>
      <c r="O172" s="16">
        <f t="shared" si="33"/>
        <v>1</v>
      </c>
      <c r="P172" s="17" t="s">
        <v>30</v>
      </c>
    </row>
    <row r="173" ht="14.25" customHeight="1">
      <c r="A173" s="18" t="s">
        <v>31</v>
      </c>
      <c r="B173" s="48">
        <v>1452131.98</v>
      </c>
      <c r="C173" s="48">
        <v>4052546.61</v>
      </c>
      <c r="D173" s="28">
        <v>1.221592027E7</v>
      </c>
      <c r="E173" s="28">
        <v>3.004872337E7</v>
      </c>
      <c r="F173" s="28">
        <v>5913281.41</v>
      </c>
      <c r="G173" s="49">
        <v>144676.71</v>
      </c>
      <c r="H173" s="48">
        <v>47237.05</v>
      </c>
      <c r="I173" s="48">
        <v>5048455.76</v>
      </c>
      <c r="J173" s="28">
        <v>584324.69</v>
      </c>
      <c r="K173" s="28">
        <v>7123468.4</v>
      </c>
      <c r="L173" s="28"/>
      <c r="M173" s="25">
        <f t="shared" si="31"/>
        <v>66630766.25</v>
      </c>
      <c r="N173" s="16">
        <f t="shared" si="32"/>
        <v>0.05796009227</v>
      </c>
      <c r="O173" s="16">
        <f t="shared" si="33"/>
        <v>0.9843913676</v>
      </c>
      <c r="P173" s="19" t="s">
        <v>31</v>
      </c>
    </row>
    <row r="174" ht="14.25" customHeight="1">
      <c r="A174" s="13" t="s">
        <v>32</v>
      </c>
      <c r="B174" s="48">
        <v>1472035.94</v>
      </c>
      <c r="C174" s="48">
        <v>4060864.25</v>
      </c>
      <c r="D174" s="28">
        <v>1.229265468E7</v>
      </c>
      <c r="E174" s="28">
        <v>3.004872337E7</v>
      </c>
      <c r="F174" s="28">
        <v>5999675.07</v>
      </c>
      <c r="G174" s="49">
        <v>158631.7</v>
      </c>
      <c r="H174" s="48">
        <v>52485.61</v>
      </c>
      <c r="I174" s="48">
        <v>5208163.92</v>
      </c>
      <c r="J174" s="28">
        <v>649249.66</v>
      </c>
      <c r="K174" s="28">
        <v>7744787.8</v>
      </c>
      <c r="L174" s="28"/>
      <c r="M174" s="25">
        <f t="shared" si="31"/>
        <v>67687272</v>
      </c>
      <c r="N174" s="16">
        <f t="shared" si="32"/>
        <v>0.05887911473</v>
      </c>
      <c r="O174" s="16">
        <f t="shared" si="33"/>
        <v>1</v>
      </c>
      <c r="P174" s="17" t="s">
        <v>32</v>
      </c>
    </row>
    <row r="175" ht="14.25" customHeight="1">
      <c r="A175" s="18"/>
      <c r="B175" s="48"/>
      <c r="C175" s="48"/>
      <c r="D175" s="28"/>
      <c r="E175" s="28"/>
      <c r="F175" s="28"/>
      <c r="G175" s="49"/>
      <c r="H175" s="48"/>
      <c r="I175" s="48"/>
      <c r="J175" s="28"/>
      <c r="K175" s="28"/>
      <c r="L175" s="28"/>
      <c r="M175" s="25"/>
      <c r="N175" s="16"/>
      <c r="O175" s="16"/>
      <c r="P175" s="19"/>
    </row>
    <row r="176" ht="14.25" customHeight="1">
      <c r="A176" s="18" t="s">
        <v>34</v>
      </c>
      <c r="B176" s="48">
        <v>1472035.94</v>
      </c>
      <c r="C176" s="48">
        <v>4060864.25</v>
      </c>
      <c r="D176" s="28">
        <v>1.229265468E7</v>
      </c>
      <c r="E176" s="28">
        <v>3.004872337E7</v>
      </c>
      <c r="F176" s="28">
        <v>5999675.07</v>
      </c>
      <c r="G176" s="49">
        <v>158631.7</v>
      </c>
      <c r="H176" s="48">
        <v>52485.61</v>
      </c>
      <c r="I176" s="48">
        <v>5208163.92</v>
      </c>
      <c r="J176" s="28">
        <v>649249.66</v>
      </c>
      <c r="K176" s="28">
        <v>7744787.8</v>
      </c>
      <c r="L176" s="28"/>
      <c r="M176" s="25">
        <f t="shared" ref="M176:M178" si="34">SUM(B176:L176)</f>
        <v>67687272</v>
      </c>
      <c r="N176" s="16">
        <f t="shared" ref="N176:N178" si="35">M176/SUM($M$159:$M$178)</f>
        <v>0.05887911473</v>
      </c>
      <c r="O176" s="16">
        <f t="shared" ref="O176:O178" si="36">N176/$N$159</f>
        <v>1</v>
      </c>
      <c r="P176" s="19" t="s">
        <v>34</v>
      </c>
    </row>
    <row r="177" ht="14.25" customHeight="1">
      <c r="A177" s="13" t="s">
        <v>35</v>
      </c>
      <c r="B177" s="48">
        <v>1177628.75</v>
      </c>
      <c r="C177" s="48">
        <v>3248691.4</v>
      </c>
      <c r="D177" s="28">
        <v>9834123.74</v>
      </c>
      <c r="E177" s="28">
        <v>2.403897869E7</v>
      </c>
      <c r="F177" s="28">
        <v>4799740.05</v>
      </c>
      <c r="G177" s="49">
        <v>151918.89</v>
      </c>
      <c r="H177" s="48">
        <v>41988.49</v>
      </c>
      <c r="I177" s="48">
        <v>4166531.13</v>
      </c>
      <c r="J177" s="28">
        <v>519399.73</v>
      </c>
      <c r="K177" s="28">
        <v>6195830.24</v>
      </c>
      <c r="L177" s="28"/>
      <c r="M177" s="25">
        <f t="shared" si="34"/>
        <v>54174831.11</v>
      </c>
      <c r="N177" s="16">
        <f t="shared" si="35"/>
        <v>0.04712505028</v>
      </c>
      <c r="O177" s="16">
        <f t="shared" si="36"/>
        <v>0.8003695453</v>
      </c>
      <c r="P177" s="17" t="s">
        <v>35</v>
      </c>
    </row>
    <row r="178" ht="14.25" customHeight="1">
      <c r="A178" s="18" t="s">
        <v>36</v>
      </c>
      <c r="B178" s="48">
        <v>1472035.94</v>
      </c>
      <c r="C178" s="48">
        <v>4044510.4</v>
      </c>
      <c r="D178" s="28">
        <v>1.229265468E7</v>
      </c>
      <c r="E178" s="28">
        <v>2.876462007E7</v>
      </c>
      <c r="F178" s="28">
        <v>5999675.07</v>
      </c>
      <c r="G178" s="49">
        <v>158631.7</v>
      </c>
      <c r="H178" s="48">
        <v>52485.61</v>
      </c>
      <c r="I178" s="48">
        <v>5208163.92</v>
      </c>
      <c r="J178" s="28">
        <v>649249.66</v>
      </c>
      <c r="K178" s="28">
        <v>7744787.8</v>
      </c>
      <c r="L178" s="28"/>
      <c r="M178" s="25">
        <f t="shared" si="34"/>
        <v>66386814.85</v>
      </c>
      <c r="N178" s="16">
        <f t="shared" si="35"/>
        <v>0.05774788631</v>
      </c>
      <c r="O178" s="16">
        <f t="shared" si="36"/>
        <v>0.9807872719</v>
      </c>
      <c r="P178" s="19" t="s">
        <v>36</v>
      </c>
    </row>
    <row r="179" ht="14.25" customHeight="1">
      <c r="A179" s="50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</row>
    <row r="180" ht="14.25" customHeight="1">
      <c r="A180" s="13" t="s">
        <v>38</v>
      </c>
      <c r="B180" s="25">
        <f t="shared" ref="B180:N180" si="37">SUM(B159:B178)</f>
        <v>25321268.41</v>
      </c>
      <c r="C180" s="25">
        <f t="shared" si="37"/>
        <v>69913831.59</v>
      </c>
      <c r="D180" s="25">
        <f t="shared" si="37"/>
        <v>211631410.4</v>
      </c>
      <c r="E180" s="25">
        <f t="shared" si="37"/>
        <v>500000000.1</v>
      </c>
      <c r="F180" s="25">
        <f t="shared" si="37"/>
        <v>103127543.2</v>
      </c>
      <c r="G180" s="25">
        <f t="shared" si="37"/>
        <v>2856160.63</v>
      </c>
      <c r="H180" s="25">
        <f t="shared" si="37"/>
        <v>893754.96</v>
      </c>
      <c r="I180" s="25">
        <f t="shared" si="37"/>
        <v>89409807.77</v>
      </c>
      <c r="J180" s="25">
        <f t="shared" si="37"/>
        <v>11408277.07</v>
      </c>
      <c r="K180" s="25">
        <f t="shared" si="37"/>
        <v>135035257.6</v>
      </c>
      <c r="L180" s="25">
        <f t="shared" si="37"/>
        <v>0</v>
      </c>
      <c r="M180" s="25">
        <f t="shared" si="37"/>
        <v>1149597312</v>
      </c>
      <c r="N180" s="12">
        <f t="shared" si="37"/>
        <v>1</v>
      </c>
    </row>
    <row r="181" ht="14.25" customHeight="1"/>
    <row r="182" ht="14.25" customHeight="1"/>
    <row r="183" ht="14.25" customHeight="1">
      <c r="B183" s="30" t="s">
        <v>122</v>
      </c>
      <c r="C183" s="30" t="s">
        <v>123</v>
      </c>
      <c r="D183" s="30" t="s">
        <v>124</v>
      </c>
      <c r="E183" s="30"/>
      <c r="F183" s="30" t="s">
        <v>125</v>
      </c>
      <c r="G183" s="30" t="s">
        <v>126</v>
      </c>
      <c r="H183" s="30" t="s">
        <v>128</v>
      </c>
      <c r="I183" s="30" t="s">
        <v>130</v>
      </c>
      <c r="J183" s="30" t="s">
        <v>133</v>
      </c>
      <c r="K183" s="30" t="s">
        <v>135</v>
      </c>
      <c r="L183" s="6"/>
      <c r="M183" s="6" t="s">
        <v>4</v>
      </c>
    </row>
    <row r="184" ht="14.25" customHeight="1">
      <c r="A184" s="13" t="s">
        <v>5</v>
      </c>
      <c r="B184" s="45">
        <v>1857280.64</v>
      </c>
      <c r="C184" s="45">
        <v>97188.05</v>
      </c>
      <c r="D184" s="45">
        <v>1.086063185E7</v>
      </c>
      <c r="E184" s="28"/>
      <c r="F184" s="51">
        <v>210692.0</v>
      </c>
      <c r="G184" s="51">
        <v>535931.0</v>
      </c>
      <c r="H184" s="52">
        <v>49381.36</v>
      </c>
      <c r="I184" s="45">
        <v>8133127.0</v>
      </c>
      <c r="J184" s="51">
        <v>664964.0</v>
      </c>
      <c r="K184" s="51">
        <v>1.0208817E7</v>
      </c>
      <c r="L184" s="28"/>
      <c r="M184" s="25">
        <f t="shared" ref="M184:M199" si="38">SUM(B184:L184)</f>
        <v>32618012.9</v>
      </c>
      <c r="N184" s="16">
        <f t="shared" ref="N184:N204" si="39">M184/$M$205</f>
        <v>0.05720287994</v>
      </c>
      <c r="O184" s="16">
        <f t="shared" ref="O184:O199" si="40">N184/$N$184</f>
        <v>1</v>
      </c>
    </row>
    <row r="185" ht="14.25" customHeight="1">
      <c r="A185" s="18" t="s">
        <v>18</v>
      </c>
      <c r="B185" s="48">
        <v>1857280.64</v>
      </c>
      <c r="C185" s="48">
        <v>97188.05</v>
      </c>
      <c r="D185" s="48">
        <v>1.086063185E7</v>
      </c>
      <c r="E185" s="28"/>
      <c r="F185" s="53">
        <v>210692.0</v>
      </c>
      <c r="G185" s="53">
        <v>535931.0</v>
      </c>
      <c r="H185" s="48">
        <v>49381.36</v>
      </c>
      <c r="I185" s="48">
        <v>8133127.0</v>
      </c>
      <c r="J185" s="53">
        <v>664964.0</v>
      </c>
      <c r="K185" s="53">
        <v>1.0208817E7</v>
      </c>
      <c r="L185" s="28"/>
      <c r="M185" s="25">
        <f t="shared" si="38"/>
        <v>32618012.9</v>
      </c>
      <c r="N185" s="16">
        <f t="shared" si="39"/>
        <v>0.05720287994</v>
      </c>
      <c r="O185" s="16">
        <f t="shared" si="40"/>
        <v>1</v>
      </c>
    </row>
    <row r="186" ht="14.25" customHeight="1">
      <c r="A186" s="31" t="s">
        <v>19</v>
      </c>
      <c r="B186" s="48">
        <v>598265.16</v>
      </c>
      <c r="C186" s="48">
        <v>97188.05</v>
      </c>
      <c r="D186" s="48">
        <v>652226.14</v>
      </c>
      <c r="E186" s="28"/>
      <c r="F186" s="53">
        <v>-3188.0</v>
      </c>
      <c r="G186" s="53">
        <v>180111.0</v>
      </c>
      <c r="H186" s="48">
        <v>49381.36</v>
      </c>
      <c r="I186" s="48">
        <v>1159424.0</v>
      </c>
      <c r="J186" s="53">
        <v>664964.0</v>
      </c>
      <c r="K186" s="53">
        <v>7963427.0</v>
      </c>
      <c r="L186" s="28"/>
      <c r="M186" s="25">
        <f t="shared" si="38"/>
        <v>11361798.71</v>
      </c>
      <c r="N186" s="16">
        <f t="shared" si="39"/>
        <v>0.01992542003</v>
      </c>
      <c r="O186" s="16">
        <f t="shared" si="40"/>
        <v>0.3483289661</v>
      </c>
    </row>
    <row r="187" ht="14.25" customHeight="1">
      <c r="A187" s="13" t="s">
        <v>20</v>
      </c>
      <c r="B187" s="48">
        <v>1857280.64</v>
      </c>
      <c r="C187" s="48">
        <v>97188.05</v>
      </c>
      <c r="D187" s="48">
        <v>1.086063185E7</v>
      </c>
      <c r="E187" s="28"/>
      <c r="F187" s="53">
        <v>210692.0</v>
      </c>
      <c r="G187" s="53">
        <v>535931.0</v>
      </c>
      <c r="H187" s="48">
        <v>49381.36</v>
      </c>
      <c r="I187" s="48">
        <v>8133127.0</v>
      </c>
      <c r="J187" s="53">
        <v>664964.0</v>
      </c>
      <c r="K187" s="53">
        <v>1.0208817E7</v>
      </c>
      <c r="L187" s="28"/>
      <c r="M187" s="25">
        <f t="shared" si="38"/>
        <v>32618012.9</v>
      </c>
      <c r="N187" s="16">
        <f t="shared" si="39"/>
        <v>0.05720287994</v>
      </c>
      <c r="O187" s="16">
        <f t="shared" si="40"/>
        <v>1</v>
      </c>
    </row>
    <row r="188" ht="14.25" customHeight="1">
      <c r="A188" s="18" t="s">
        <v>21</v>
      </c>
      <c r="B188" s="48">
        <v>1857280.64</v>
      </c>
      <c r="C188" s="48">
        <v>97188.05</v>
      </c>
      <c r="D188" s="48">
        <v>1.086063185E7</v>
      </c>
      <c r="E188" s="28"/>
      <c r="F188" s="53">
        <v>221797.0</v>
      </c>
      <c r="G188" s="53">
        <v>579687.0</v>
      </c>
      <c r="H188" s="48">
        <v>49381.36</v>
      </c>
      <c r="I188" s="48">
        <v>8133127.0</v>
      </c>
      <c r="J188" s="53">
        <v>664964.0</v>
      </c>
      <c r="K188" s="53">
        <v>1.0208817E7</v>
      </c>
      <c r="L188" s="28"/>
      <c r="M188" s="25">
        <f t="shared" si="38"/>
        <v>32672873.9</v>
      </c>
      <c r="N188" s="16">
        <f t="shared" si="39"/>
        <v>0.0572990908</v>
      </c>
      <c r="O188" s="16">
        <f t="shared" si="40"/>
        <v>1.001681923</v>
      </c>
    </row>
    <row r="189" ht="14.25" customHeight="1">
      <c r="A189" s="13" t="s">
        <v>22</v>
      </c>
      <c r="B189" s="48">
        <v>1326629.03</v>
      </c>
      <c r="C189" s="48">
        <v>69420.04</v>
      </c>
      <c r="D189" s="48">
        <v>7757594.18</v>
      </c>
      <c r="E189" s="28"/>
      <c r="F189" s="53">
        <v>146834.0</v>
      </c>
      <c r="G189" s="53">
        <v>368387.0</v>
      </c>
      <c r="H189" s="48">
        <v>35272.4</v>
      </c>
      <c r="I189" s="48">
        <v>5809376.0</v>
      </c>
      <c r="J189" s="53">
        <v>474974.0</v>
      </c>
      <c r="K189" s="53">
        <v>7292012.0</v>
      </c>
      <c r="L189" s="28"/>
      <c r="M189" s="25">
        <f t="shared" si="38"/>
        <v>23280498.65</v>
      </c>
      <c r="N189" s="16">
        <f t="shared" si="39"/>
        <v>0.04082748919</v>
      </c>
      <c r="O189" s="16">
        <f t="shared" si="40"/>
        <v>0.7137313582</v>
      </c>
    </row>
    <row r="190" ht="14.25" customHeight="1">
      <c r="A190" s="18" t="s">
        <v>23</v>
      </c>
      <c r="B190" s="48">
        <v>1857280.64</v>
      </c>
      <c r="C190" s="48">
        <v>97188.05</v>
      </c>
      <c r="D190" s="48">
        <v>1.086063185E7</v>
      </c>
      <c r="E190" s="28"/>
      <c r="F190" s="53">
        <v>210692.0</v>
      </c>
      <c r="G190" s="53">
        <v>535931.0</v>
      </c>
      <c r="H190" s="48">
        <v>49381.36</v>
      </c>
      <c r="I190" s="48">
        <v>8133127.0</v>
      </c>
      <c r="J190" s="53">
        <v>664964.0</v>
      </c>
      <c r="K190" s="53">
        <v>1.0208817E7</v>
      </c>
      <c r="L190" s="28"/>
      <c r="M190" s="25">
        <f t="shared" si="38"/>
        <v>32618012.9</v>
      </c>
      <c r="N190" s="16">
        <f t="shared" si="39"/>
        <v>0.05720287994</v>
      </c>
      <c r="O190" s="16">
        <f t="shared" si="40"/>
        <v>1</v>
      </c>
    </row>
    <row r="191" ht="14.25" customHeight="1">
      <c r="A191" s="13" t="s">
        <v>24</v>
      </c>
      <c r="B191" s="48">
        <v>1326629.03</v>
      </c>
      <c r="C191" s="48">
        <v>69420.04</v>
      </c>
      <c r="D191" s="48">
        <v>7757594.18</v>
      </c>
      <c r="E191" s="28"/>
      <c r="F191" s="53">
        <v>150243.0</v>
      </c>
      <c r="G191" s="53">
        <v>381817.0</v>
      </c>
      <c r="H191" s="48">
        <v>35272.4</v>
      </c>
      <c r="I191" s="48">
        <v>5809376.0</v>
      </c>
      <c r="J191" s="53">
        <v>474974.0</v>
      </c>
      <c r="K191" s="53">
        <v>7292012.0</v>
      </c>
      <c r="L191" s="28"/>
      <c r="M191" s="25">
        <f t="shared" si="38"/>
        <v>23297337.65</v>
      </c>
      <c r="N191" s="16">
        <f t="shared" si="39"/>
        <v>0.04085702009</v>
      </c>
      <c r="O191" s="16">
        <f t="shared" si="40"/>
        <v>0.7142476067</v>
      </c>
    </row>
    <row r="192" ht="14.25" customHeight="1">
      <c r="A192" s="18" t="s">
        <v>25</v>
      </c>
      <c r="B192" s="48">
        <v>1857280.64</v>
      </c>
      <c r="C192" s="48">
        <v>97188.05</v>
      </c>
      <c r="D192" s="48">
        <v>1.086063185E7</v>
      </c>
      <c r="E192" s="28"/>
      <c r="F192" s="53">
        <v>210692.0</v>
      </c>
      <c r="G192" s="53">
        <v>535931.0</v>
      </c>
      <c r="H192" s="48">
        <v>49381.36</v>
      </c>
      <c r="I192" s="48">
        <v>8133127.0</v>
      </c>
      <c r="J192" s="53">
        <v>664964.0</v>
      </c>
      <c r="K192" s="53">
        <v>1.0208817E7</v>
      </c>
      <c r="L192" s="29"/>
      <c r="M192" s="25">
        <f t="shared" si="38"/>
        <v>32618012.9</v>
      </c>
      <c r="N192" s="16">
        <f t="shared" si="39"/>
        <v>0.05720287994</v>
      </c>
      <c r="O192" s="16">
        <f t="shared" si="40"/>
        <v>1</v>
      </c>
    </row>
    <row r="193" ht="14.25" customHeight="1">
      <c r="A193" s="13" t="s">
        <v>26</v>
      </c>
      <c r="B193" s="48">
        <v>1857280.64</v>
      </c>
      <c r="C193" s="48">
        <v>97188.05</v>
      </c>
      <c r="D193" s="48">
        <v>1.086063185E7</v>
      </c>
      <c r="E193" s="28"/>
      <c r="F193" s="53">
        <v>210692.0</v>
      </c>
      <c r="G193" s="53">
        <v>535931.0</v>
      </c>
      <c r="H193" s="48">
        <v>49381.36</v>
      </c>
      <c r="I193" s="48">
        <v>8133127.0</v>
      </c>
      <c r="J193" s="53">
        <v>664964.0</v>
      </c>
      <c r="K193" s="53">
        <v>1.0208817E7</v>
      </c>
      <c r="L193" s="28"/>
      <c r="M193" s="25">
        <f t="shared" si="38"/>
        <v>32618012.9</v>
      </c>
      <c r="N193" s="16">
        <f t="shared" si="39"/>
        <v>0.05720287994</v>
      </c>
      <c r="O193" s="16">
        <f t="shared" si="40"/>
        <v>1</v>
      </c>
    </row>
    <row r="194" ht="14.25" customHeight="1">
      <c r="A194" s="18" t="s">
        <v>27</v>
      </c>
      <c r="B194" s="48">
        <v>1857280.64</v>
      </c>
      <c r="C194" s="48">
        <v>97188.05</v>
      </c>
      <c r="D194" s="48">
        <v>1.086063185E7</v>
      </c>
      <c r="E194" s="28"/>
      <c r="F194" s="53">
        <v>210692.0</v>
      </c>
      <c r="G194" s="53">
        <v>535931.0</v>
      </c>
      <c r="H194" s="48">
        <v>49381.36</v>
      </c>
      <c r="I194" s="48">
        <v>8133127.0</v>
      </c>
      <c r="J194" s="53">
        <v>664964.0</v>
      </c>
      <c r="K194" s="53">
        <v>1.0208817E7</v>
      </c>
      <c r="L194" s="28"/>
      <c r="M194" s="25">
        <f t="shared" si="38"/>
        <v>32618012.9</v>
      </c>
      <c r="N194" s="16">
        <f t="shared" si="39"/>
        <v>0.05720287994</v>
      </c>
      <c r="O194" s="16">
        <f t="shared" si="40"/>
        <v>1</v>
      </c>
    </row>
    <row r="195" ht="14.25" customHeight="1">
      <c r="A195" s="13" t="s">
        <v>28</v>
      </c>
      <c r="B195" s="48">
        <v>1718972.54</v>
      </c>
      <c r="C195" s="48">
        <v>87469.24</v>
      </c>
      <c r="D195" s="48">
        <v>1.053894461E7</v>
      </c>
      <c r="E195" s="28"/>
      <c r="F195" s="53">
        <v>220258.0</v>
      </c>
      <c r="G195" s="53">
        <v>509737.0</v>
      </c>
      <c r="H195" s="48">
        <v>44443.22</v>
      </c>
      <c r="I195" s="48">
        <v>7910810.0</v>
      </c>
      <c r="J195" s="53">
        <v>598467.0</v>
      </c>
      <c r="K195" s="53">
        <v>9223912.0</v>
      </c>
      <c r="L195" s="28"/>
      <c r="M195" s="25">
        <f t="shared" si="38"/>
        <v>30853013.61</v>
      </c>
      <c r="N195" s="16">
        <f t="shared" si="39"/>
        <v>0.05410756439</v>
      </c>
      <c r="O195" s="16">
        <f t="shared" si="40"/>
        <v>0.9458888162</v>
      </c>
    </row>
    <row r="196" ht="14.25" customHeight="1">
      <c r="A196" s="18" t="s">
        <v>29</v>
      </c>
      <c r="B196" s="48">
        <v>1857280.64</v>
      </c>
      <c r="C196" s="48">
        <v>97188.05</v>
      </c>
      <c r="D196" s="48">
        <v>1.086063185E7</v>
      </c>
      <c r="E196" s="28"/>
      <c r="F196" s="53">
        <v>210692.0</v>
      </c>
      <c r="G196" s="53">
        <v>535931.0</v>
      </c>
      <c r="H196" s="48">
        <v>49381.36</v>
      </c>
      <c r="I196" s="48">
        <v>8133127.0</v>
      </c>
      <c r="J196" s="53">
        <v>664964.0</v>
      </c>
      <c r="K196" s="53">
        <v>1.0208817E7</v>
      </c>
      <c r="L196" s="29"/>
      <c r="M196" s="25">
        <f t="shared" si="38"/>
        <v>32618012.9</v>
      </c>
      <c r="N196" s="16">
        <f t="shared" si="39"/>
        <v>0.05720287994</v>
      </c>
      <c r="O196" s="16">
        <f t="shared" si="40"/>
        <v>1</v>
      </c>
    </row>
    <row r="197" ht="14.25" customHeight="1">
      <c r="A197" s="13" t="s">
        <v>30</v>
      </c>
      <c r="B197" s="48">
        <v>1857280.64</v>
      </c>
      <c r="C197" s="48">
        <v>97188.05</v>
      </c>
      <c r="D197" s="48">
        <v>1.086063185E7</v>
      </c>
      <c r="E197" s="28"/>
      <c r="F197" s="53">
        <v>210692.0</v>
      </c>
      <c r="G197" s="53">
        <v>535931.0</v>
      </c>
      <c r="H197" s="48">
        <v>49381.36</v>
      </c>
      <c r="I197" s="48">
        <v>8133127.0</v>
      </c>
      <c r="J197" s="53">
        <v>664964.0</v>
      </c>
      <c r="K197" s="53">
        <v>1.0208817E7</v>
      </c>
      <c r="L197" s="28"/>
      <c r="M197" s="25">
        <f t="shared" si="38"/>
        <v>32618012.9</v>
      </c>
      <c r="N197" s="16">
        <f t="shared" si="39"/>
        <v>0.05720287994</v>
      </c>
      <c r="O197" s="16">
        <f t="shared" si="40"/>
        <v>1</v>
      </c>
    </row>
    <row r="198" ht="14.25" customHeight="1">
      <c r="A198" s="18" t="s">
        <v>31</v>
      </c>
      <c r="B198" s="48">
        <v>1718972.54</v>
      </c>
      <c r="C198" s="48">
        <v>87469.24</v>
      </c>
      <c r="D198" s="48">
        <v>1.053894461E7</v>
      </c>
      <c r="E198" s="28"/>
      <c r="F198" s="53">
        <v>211681.0</v>
      </c>
      <c r="G198" s="53">
        <v>475945.0</v>
      </c>
      <c r="H198" s="48">
        <v>44443.22</v>
      </c>
      <c r="I198" s="48">
        <v>7910810.0</v>
      </c>
      <c r="J198" s="53">
        <v>598467.0</v>
      </c>
      <c r="K198" s="53">
        <v>9223912.0</v>
      </c>
      <c r="L198" s="28"/>
      <c r="M198" s="25">
        <f t="shared" si="38"/>
        <v>30810644.61</v>
      </c>
      <c r="N198" s="16">
        <f t="shared" si="39"/>
        <v>0.05403326101</v>
      </c>
      <c r="O198" s="16">
        <f t="shared" si="40"/>
        <v>0.9445898714</v>
      </c>
    </row>
    <row r="199" ht="14.25" customHeight="1">
      <c r="A199" s="13" t="s">
        <v>32</v>
      </c>
      <c r="B199" s="48">
        <v>1857280.64</v>
      </c>
      <c r="C199" s="48">
        <v>97188.05</v>
      </c>
      <c r="D199" s="48">
        <v>1.086063185E7</v>
      </c>
      <c r="E199" s="28"/>
      <c r="F199" s="53">
        <v>210692.0</v>
      </c>
      <c r="G199" s="53">
        <v>535931.0</v>
      </c>
      <c r="H199" s="48">
        <v>49381.36</v>
      </c>
      <c r="I199" s="48">
        <v>8133127.0</v>
      </c>
      <c r="J199" s="53">
        <v>664964.0</v>
      </c>
      <c r="K199" s="53">
        <v>1.0208817E7</v>
      </c>
      <c r="L199" s="28"/>
      <c r="M199" s="25">
        <f t="shared" si="38"/>
        <v>32618012.9</v>
      </c>
      <c r="N199" s="16">
        <f t="shared" si="39"/>
        <v>0.05720287994</v>
      </c>
      <c r="O199" s="16">
        <f t="shared" si="40"/>
        <v>1</v>
      </c>
    </row>
    <row r="200" ht="14.25" customHeight="1">
      <c r="A200" s="37" t="s">
        <v>33</v>
      </c>
      <c r="B200" s="48">
        <v>0.0</v>
      </c>
      <c r="C200" s="48">
        <v>0.0</v>
      </c>
      <c r="D200" s="48">
        <v>0.0</v>
      </c>
      <c r="E200" s="28"/>
      <c r="F200" s="53" t="s">
        <v>49</v>
      </c>
      <c r="G200" s="53" t="s">
        <v>49</v>
      </c>
      <c r="H200" s="48">
        <v>0.0</v>
      </c>
      <c r="I200" s="48">
        <v>0.0</v>
      </c>
      <c r="J200" s="53">
        <v>0.0</v>
      </c>
      <c r="K200" s="53">
        <v>0.0</v>
      </c>
      <c r="L200" s="28"/>
      <c r="M200" s="28">
        <v>0.0</v>
      </c>
      <c r="N200" s="16">
        <f t="shared" si="39"/>
        <v>0</v>
      </c>
      <c r="O200" s="55">
        <v>0.0</v>
      </c>
    </row>
    <row r="201" ht="14.25" customHeight="1">
      <c r="A201" s="18" t="s">
        <v>34</v>
      </c>
      <c r="B201" s="48">
        <v>1857280.64</v>
      </c>
      <c r="C201" s="48">
        <v>97188.05</v>
      </c>
      <c r="D201" s="48">
        <v>1.086063185E7</v>
      </c>
      <c r="E201" s="28"/>
      <c r="F201" s="53">
        <v>210692.0</v>
      </c>
      <c r="G201" s="53">
        <v>535931.0</v>
      </c>
      <c r="H201" s="48">
        <v>49381.36</v>
      </c>
      <c r="I201" s="48">
        <v>8133127.0</v>
      </c>
      <c r="J201" s="53">
        <v>664964.0</v>
      </c>
      <c r="K201" s="53">
        <v>1.0208817E7</v>
      </c>
      <c r="L201" s="28"/>
      <c r="M201" s="25">
        <f t="shared" ref="M201:M203" si="41">SUM(B201:L201)</f>
        <v>32618012.9</v>
      </c>
      <c r="N201" s="16">
        <f t="shared" si="39"/>
        <v>0.05720287994</v>
      </c>
      <c r="O201" s="16">
        <f t="shared" ref="O201:O204" si="42">N201/$N$184</f>
        <v>1</v>
      </c>
    </row>
    <row r="202" ht="14.25" customHeight="1">
      <c r="A202" s="13" t="s">
        <v>35</v>
      </c>
      <c r="B202" s="48">
        <v>1492379.05</v>
      </c>
      <c r="C202" s="48">
        <v>97188.05</v>
      </c>
      <c r="D202" s="48">
        <v>8688505.48</v>
      </c>
      <c r="E202" s="28"/>
      <c r="F202" s="53">
        <v>168575.0</v>
      </c>
      <c r="G202" s="53">
        <v>428831.0</v>
      </c>
      <c r="H202" s="48">
        <v>42984.67</v>
      </c>
      <c r="I202" s="48">
        <v>6506501.0</v>
      </c>
      <c r="J202" s="53">
        <v>595493.0</v>
      </c>
      <c r="K202" s="53">
        <v>8496974.0</v>
      </c>
      <c r="L202" s="28"/>
      <c r="M202" s="25">
        <f t="shared" si="41"/>
        <v>26517431.25</v>
      </c>
      <c r="N202" s="16">
        <f t="shared" si="39"/>
        <v>0.04650416446</v>
      </c>
      <c r="O202" s="16">
        <f t="shared" si="42"/>
        <v>0.8129689363</v>
      </c>
    </row>
    <row r="203" ht="14.25" customHeight="1">
      <c r="A203" s="18" t="s">
        <v>36</v>
      </c>
      <c r="B203" s="48">
        <v>1857280.64</v>
      </c>
      <c r="C203" s="48">
        <v>97188.05</v>
      </c>
      <c r="D203" s="48">
        <v>1.086063185E7</v>
      </c>
      <c r="E203" s="28"/>
      <c r="F203" s="53">
        <v>212011.0</v>
      </c>
      <c r="G203" s="53">
        <v>541130.0</v>
      </c>
      <c r="H203" s="48">
        <v>49381.36</v>
      </c>
      <c r="I203" s="48">
        <v>8133127.0</v>
      </c>
      <c r="J203" s="14">
        <v>664964.0</v>
      </c>
      <c r="K203" s="14">
        <v>1.0208817E7</v>
      </c>
      <c r="L203" s="28"/>
      <c r="M203" s="25">
        <f t="shared" si="41"/>
        <v>32624530.9</v>
      </c>
      <c r="N203" s="16">
        <f t="shared" si="39"/>
        <v>0.05721431069</v>
      </c>
      <c r="O203" s="16">
        <f t="shared" si="42"/>
        <v>1.000199828</v>
      </c>
    </row>
    <row r="204" ht="14.25" customHeight="1">
      <c r="A204" s="4" t="s">
        <v>37</v>
      </c>
      <c r="F204" s="56" t="s">
        <v>49</v>
      </c>
      <c r="G204" s="56" t="s">
        <v>49</v>
      </c>
      <c r="J204" s="56" t="s">
        <v>49</v>
      </c>
      <c r="K204" s="56" t="s">
        <v>49</v>
      </c>
      <c r="M204" s="4">
        <v>0.0</v>
      </c>
      <c r="N204" s="16">
        <f t="shared" si="39"/>
        <v>0</v>
      </c>
      <c r="O204" s="16">
        <f t="shared" si="42"/>
        <v>0</v>
      </c>
    </row>
    <row r="205" ht="14.25" customHeight="1">
      <c r="M205" s="57">
        <f t="shared" ref="M205:N205" si="43">SUM(M184:M204)</f>
        <v>570216271.2</v>
      </c>
      <c r="N205" s="12">
        <f t="shared" si="43"/>
        <v>1</v>
      </c>
    </row>
    <row r="206" ht="14.25" customHeight="1"/>
    <row r="207" ht="14.25" customHeight="1"/>
    <row r="208" ht="14.25" customHeight="1">
      <c r="B208" s="30" t="s">
        <v>167</v>
      </c>
      <c r="C208" s="30" t="s">
        <v>168</v>
      </c>
      <c r="D208" s="30" t="s">
        <v>169</v>
      </c>
      <c r="E208" s="30" t="s">
        <v>170</v>
      </c>
      <c r="F208" s="30" t="s">
        <v>171</v>
      </c>
      <c r="G208" s="30" t="s">
        <v>126</v>
      </c>
      <c r="H208" s="30" t="s">
        <v>172</v>
      </c>
      <c r="I208" s="30" t="s">
        <v>173</v>
      </c>
      <c r="J208" s="30" t="s">
        <v>174</v>
      </c>
      <c r="K208" s="30" t="s">
        <v>135</v>
      </c>
      <c r="L208" s="6"/>
      <c r="M208" s="6" t="s">
        <v>4</v>
      </c>
    </row>
    <row r="209" ht="14.25" customHeight="1">
      <c r="A209" s="13" t="s">
        <v>5</v>
      </c>
      <c r="B209" s="45">
        <v>1790040.0</v>
      </c>
      <c r="C209" s="45">
        <v>5674080.0</v>
      </c>
      <c r="D209" s="51">
        <v>329924.0</v>
      </c>
      <c r="E209" s="51">
        <v>2601088.0</v>
      </c>
      <c r="F209" s="51">
        <v>8007332.0</v>
      </c>
      <c r="G209" s="51"/>
      <c r="H209" s="52">
        <v>49023.0</v>
      </c>
      <c r="I209" s="45">
        <v>1.0768012E7</v>
      </c>
      <c r="J209" s="51">
        <v>363597.0</v>
      </c>
      <c r="K209" s="51">
        <v>8240704.0</v>
      </c>
      <c r="L209" s="28"/>
      <c r="M209" s="25">
        <f t="shared" ref="M209:M224" si="44">SUM(B209:L209)</f>
        <v>37823800</v>
      </c>
      <c r="N209" s="16">
        <f t="shared" ref="N209:N229" si="45">M209/$M$230</f>
        <v>0.05615749741</v>
      </c>
      <c r="O209" s="16">
        <f t="shared" ref="O209:O229" si="46">N209/$N$209</f>
        <v>1</v>
      </c>
    </row>
    <row r="210" ht="14.25" customHeight="1">
      <c r="A210" s="18" t="s">
        <v>18</v>
      </c>
      <c r="B210" s="48">
        <v>1790040.0</v>
      </c>
      <c r="C210" s="48">
        <v>5674080.0</v>
      </c>
      <c r="D210" s="53">
        <v>329924.0</v>
      </c>
      <c r="E210" s="53">
        <v>2601088.0</v>
      </c>
      <c r="F210" s="53">
        <v>8007332.0</v>
      </c>
      <c r="G210" s="53"/>
      <c r="H210" s="48">
        <v>49023.0</v>
      </c>
      <c r="I210" s="48">
        <v>1.0768012E7</v>
      </c>
      <c r="J210" s="53">
        <v>363597.0</v>
      </c>
      <c r="K210" s="53">
        <v>8240704.0</v>
      </c>
      <c r="L210" s="28"/>
      <c r="M210" s="25">
        <f t="shared" si="44"/>
        <v>37823800</v>
      </c>
      <c r="N210" s="16">
        <f t="shared" si="45"/>
        <v>0.05615749741</v>
      </c>
      <c r="O210" s="16">
        <f t="shared" si="46"/>
        <v>1</v>
      </c>
    </row>
    <row r="211" ht="14.25" customHeight="1">
      <c r="A211" s="31" t="s">
        <v>19</v>
      </c>
      <c r="B211" s="48">
        <v>680064.0</v>
      </c>
      <c r="C211" s="48">
        <v>2107511.0</v>
      </c>
      <c r="D211" s="53">
        <v>-30742.0</v>
      </c>
      <c r="E211" s="53">
        <v>2639818.0</v>
      </c>
      <c r="F211" s="53">
        <v>5702078.0</v>
      </c>
      <c r="G211" s="53"/>
      <c r="H211" s="48">
        <v>49023.0</v>
      </c>
      <c r="I211" s="48">
        <v>5972322.0</v>
      </c>
      <c r="J211" s="53">
        <v>363597.0</v>
      </c>
      <c r="K211" s="53">
        <v>7616840.0</v>
      </c>
      <c r="L211" s="28"/>
      <c r="M211" s="25">
        <f t="shared" si="44"/>
        <v>25100511</v>
      </c>
      <c r="N211" s="16">
        <f t="shared" si="45"/>
        <v>0.03726706152</v>
      </c>
      <c r="O211" s="16">
        <f t="shared" si="46"/>
        <v>0.6636168497</v>
      </c>
    </row>
    <row r="212" ht="14.25" customHeight="1">
      <c r="A212" s="13" t="s">
        <v>20</v>
      </c>
      <c r="B212" s="48">
        <v>1790040.0</v>
      </c>
      <c r="C212" s="48">
        <v>5674080.0</v>
      </c>
      <c r="D212" s="53">
        <v>329924.0</v>
      </c>
      <c r="E212" s="53">
        <v>2601088.0</v>
      </c>
      <c r="F212" s="53">
        <v>8007332.0</v>
      </c>
      <c r="G212" s="53"/>
      <c r="H212" s="48">
        <v>49023.0</v>
      </c>
      <c r="I212" s="48">
        <v>1.0768012E7</v>
      </c>
      <c r="J212" s="53">
        <v>363597.0</v>
      </c>
      <c r="K212" s="53">
        <v>8240704.0</v>
      </c>
      <c r="L212" s="28"/>
      <c r="M212" s="25">
        <f t="shared" si="44"/>
        <v>37823800</v>
      </c>
      <c r="N212" s="16">
        <f t="shared" si="45"/>
        <v>0.05615749741</v>
      </c>
      <c r="O212" s="16">
        <f t="shared" si="46"/>
        <v>1</v>
      </c>
    </row>
    <row r="213" ht="14.25" customHeight="1">
      <c r="A213" s="18" t="s">
        <v>21</v>
      </c>
      <c r="B213" s="48">
        <v>1788420.0</v>
      </c>
      <c r="C213" s="48">
        <v>5669505.0</v>
      </c>
      <c r="D213" s="53">
        <v>329770.0</v>
      </c>
      <c r="E213" s="53">
        <v>2598980.0</v>
      </c>
      <c r="F213" s="53">
        <v>8000945.0</v>
      </c>
      <c r="G213" s="53"/>
      <c r="H213" s="48">
        <v>49023.0</v>
      </c>
      <c r="I213" s="48">
        <v>1.0768012E7</v>
      </c>
      <c r="J213" s="53">
        <v>363597.0</v>
      </c>
      <c r="K213" s="53">
        <v>8240704.0</v>
      </c>
      <c r="L213" s="28"/>
      <c r="M213" s="25">
        <f t="shared" si="44"/>
        <v>37808956</v>
      </c>
      <c r="N213" s="16">
        <f t="shared" si="45"/>
        <v>0.05613545833</v>
      </c>
      <c r="O213" s="16">
        <f t="shared" si="46"/>
        <v>0.9996075487</v>
      </c>
    </row>
    <row r="214" ht="14.25" customHeight="1">
      <c r="A214" s="13" t="s">
        <v>22</v>
      </c>
      <c r="B214" s="48">
        <v>1279526.0</v>
      </c>
      <c r="C214" s="48">
        <v>4055528.0</v>
      </c>
      <c r="D214" s="53">
        <v>235748.0</v>
      </c>
      <c r="E214" s="53">
        <v>1859124.0</v>
      </c>
      <c r="F214" s="53">
        <v>5723172.0</v>
      </c>
      <c r="G214" s="53"/>
      <c r="H214" s="48">
        <v>35016.0</v>
      </c>
      <c r="I214" s="48">
        <v>7691437.0</v>
      </c>
      <c r="J214" s="53">
        <v>259712.0</v>
      </c>
      <c r="K214" s="53">
        <v>5886217.0</v>
      </c>
      <c r="L214" s="28"/>
      <c r="M214" s="25">
        <f t="shared" si="44"/>
        <v>27025480</v>
      </c>
      <c r="N214" s="16">
        <f t="shared" si="45"/>
        <v>0.04012508852</v>
      </c>
      <c r="O214" s="16">
        <f t="shared" si="46"/>
        <v>0.7145099117</v>
      </c>
    </row>
    <row r="215" ht="14.25" customHeight="1">
      <c r="A215" s="18" t="s">
        <v>23</v>
      </c>
      <c r="B215" s="48">
        <v>1790040.0</v>
      </c>
      <c r="C215" s="48">
        <v>5674080.0</v>
      </c>
      <c r="D215" s="53">
        <v>329924.0</v>
      </c>
      <c r="E215" s="53">
        <v>2601088.0</v>
      </c>
      <c r="F215" s="53">
        <v>8007332.0</v>
      </c>
      <c r="G215" s="53"/>
      <c r="H215" s="48">
        <v>49023.0</v>
      </c>
      <c r="I215" s="48">
        <v>1.0768012E7</v>
      </c>
      <c r="J215" s="53">
        <v>363597.0</v>
      </c>
      <c r="K215" s="53">
        <v>8240704.0</v>
      </c>
      <c r="L215" s="28"/>
      <c r="M215" s="25">
        <f t="shared" si="44"/>
        <v>37823800</v>
      </c>
      <c r="N215" s="16">
        <f t="shared" si="45"/>
        <v>0.05615749741</v>
      </c>
      <c r="O215" s="16">
        <f t="shared" si="46"/>
        <v>1</v>
      </c>
    </row>
    <row r="216" ht="14.25" customHeight="1">
      <c r="A216" s="13" t="s">
        <v>24</v>
      </c>
      <c r="B216" s="48">
        <v>1277906.0</v>
      </c>
      <c r="C216" s="48">
        <v>4050954.0</v>
      </c>
      <c r="D216" s="53">
        <v>235594.0</v>
      </c>
      <c r="E216" s="53">
        <v>1857016.0</v>
      </c>
      <c r="F216" s="53">
        <v>5716785.0</v>
      </c>
      <c r="G216" s="53"/>
      <c r="H216" s="48">
        <v>35016.0</v>
      </c>
      <c r="I216" s="48">
        <v>7691437.0</v>
      </c>
      <c r="J216" s="53">
        <v>259712.0</v>
      </c>
      <c r="K216" s="53">
        <v>5886217.0</v>
      </c>
      <c r="L216" s="28"/>
      <c r="M216" s="25">
        <f t="shared" si="44"/>
        <v>27010637</v>
      </c>
      <c r="N216" s="16">
        <f t="shared" si="45"/>
        <v>0.04010305092</v>
      </c>
      <c r="O216" s="16">
        <f t="shared" si="46"/>
        <v>0.7141174869</v>
      </c>
    </row>
    <row r="217" ht="14.25" customHeight="1">
      <c r="A217" s="18" t="s">
        <v>25</v>
      </c>
      <c r="B217" s="48">
        <v>1790040.0</v>
      </c>
      <c r="C217" s="48">
        <v>5674080.0</v>
      </c>
      <c r="D217" s="53">
        <v>329924.0</v>
      </c>
      <c r="E217" s="53">
        <v>2601088.0</v>
      </c>
      <c r="F217" s="53">
        <v>8007332.0</v>
      </c>
      <c r="G217" s="53"/>
      <c r="H217" s="48">
        <v>49023.0</v>
      </c>
      <c r="I217" s="48">
        <v>1.0768012E7</v>
      </c>
      <c r="J217" s="53">
        <v>363597.0</v>
      </c>
      <c r="K217" s="53">
        <v>8240704.0</v>
      </c>
      <c r="L217" s="29"/>
      <c r="M217" s="25">
        <f t="shared" si="44"/>
        <v>37823800</v>
      </c>
      <c r="N217" s="16">
        <f t="shared" si="45"/>
        <v>0.05615749741</v>
      </c>
      <c r="O217" s="16">
        <f t="shared" si="46"/>
        <v>1</v>
      </c>
    </row>
    <row r="218" ht="14.25" customHeight="1">
      <c r="A218" s="13" t="s">
        <v>26</v>
      </c>
      <c r="B218" s="48">
        <v>1790040.0</v>
      </c>
      <c r="C218" s="48">
        <v>5674080.0</v>
      </c>
      <c r="D218" s="53">
        <v>329924.0</v>
      </c>
      <c r="E218" s="53">
        <v>2601088.0</v>
      </c>
      <c r="F218" s="53">
        <v>8007332.0</v>
      </c>
      <c r="G218" s="53"/>
      <c r="H218" s="48">
        <v>49023.0</v>
      </c>
      <c r="I218" s="48">
        <v>1.0768012E7</v>
      </c>
      <c r="J218" s="53">
        <v>363597.0</v>
      </c>
      <c r="K218" s="53">
        <v>8240704.0</v>
      </c>
      <c r="L218" s="28"/>
      <c r="M218" s="25">
        <f t="shared" si="44"/>
        <v>37823800</v>
      </c>
      <c r="N218" s="16">
        <f t="shared" si="45"/>
        <v>0.05615749741</v>
      </c>
      <c r="O218" s="16">
        <f t="shared" si="46"/>
        <v>1</v>
      </c>
    </row>
    <row r="219" ht="14.25" customHeight="1">
      <c r="A219" s="18" t="s">
        <v>27</v>
      </c>
      <c r="B219" s="48">
        <v>1790040.0</v>
      </c>
      <c r="C219" s="48">
        <v>5674080.0</v>
      </c>
      <c r="D219" s="53">
        <v>329924.0</v>
      </c>
      <c r="E219" s="53">
        <v>2601088.0</v>
      </c>
      <c r="F219" s="53">
        <v>8007332.0</v>
      </c>
      <c r="G219" s="53"/>
      <c r="H219" s="48">
        <v>49023.0</v>
      </c>
      <c r="I219" s="48">
        <v>1.0768012E7</v>
      </c>
      <c r="J219" s="53">
        <v>363597.0</v>
      </c>
      <c r="K219" s="53">
        <v>8240704.0</v>
      </c>
      <c r="L219" s="28"/>
      <c r="M219" s="25">
        <f t="shared" si="44"/>
        <v>37823800</v>
      </c>
      <c r="N219" s="16">
        <f t="shared" si="45"/>
        <v>0.05615749741</v>
      </c>
      <c r="O219" s="16">
        <f t="shared" si="46"/>
        <v>1</v>
      </c>
    </row>
    <row r="220" ht="14.25" customHeight="1">
      <c r="A220" s="13" t="s">
        <v>28</v>
      </c>
      <c r="B220" s="48">
        <v>1582327.0</v>
      </c>
      <c r="C220" s="48">
        <v>5360396.0</v>
      </c>
      <c r="D220" s="53">
        <v>334713.0</v>
      </c>
      <c r="E220" s="53">
        <v>2279850.0</v>
      </c>
      <c r="F220" s="53">
        <v>7043440.0</v>
      </c>
      <c r="G220" s="53"/>
      <c r="H220" s="48">
        <v>44121.0</v>
      </c>
      <c r="I220" s="48">
        <v>1.0018512E7</v>
      </c>
      <c r="J220" s="53">
        <v>327237.0</v>
      </c>
      <c r="K220" s="53">
        <v>7427234.0</v>
      </c>
      <c r="L220" s="28"/>
      <c r="M220" s="25">
        <f t="shared" si="44"/>
        <v>34417830</v>
      </c>
      <c r="N220" s="16">
        <f t="shared" si="45"/>
        <v>0.05110060859</v>
      </c>
      <c r="O220" s="16">
        <f t="shared" si="46"/>
        <v>0.9099516706</v>
      </c>
    </row>
    <row r="221" ht="14.25" customHeight="1">
      <c r="A221" s="18" t="s">
        <v>29</v>
      </c>
      <c r="B221" s="48">
        <v>1790040.0</v>
      </c>
      <c r="C221" s="48">
        <v>5674080.0</v>
      </c>
      <c r="D221" s="53">
        <v>329924.0</v>
      </c>
      <c r="E221" s="53">
        <v>2601088.0</v>
      </c>
      <c r="F221" s="53">
        <v>8007332.0</v>
      </c>
      <c r="G221" s="53"/>
      <c r="H221" s="48">
        <v>49023.0</v>
      </c>
      <c r="I221" s="48">
        <v>1.0768012E7</v>
      </c>
      <c r="J221" s="53">
        <v>363597.0</v>
      </c>
      <c r="K221" s="53">
        <v>8240704.0</v>
      </c>
      <c r="L221" s="29"/>
      <c r="M221" s="25">
        <f t="shared" si="44"/>
        <v>37823800</v>
      </c>
      <c r="N221" s="16">
        <f t="shared" si="45"/>
        <v>0.05615749741</v>
      </c>
      <c r="O221" s="16">
        <f t="shared" si="46"/>
        <v>1</v>
      </c>
    </row>
    <row r="222" ht="14.25" customHeight="1">
      <c r="A222" s="13" t="s">
        <v>30</v>
      </c>
      <c r="B222" s="48">
        <v>1790040.0</v>
      </c>
      <c r="C222" s="48">
        <v>5674080.0</v>
      </c>
      <c r="D222" s="53">
        <v>329924.0</v>
      </c>
      <c r="E222" s="53">
        <v>2601088.0</v>
      </c>
      <c r="F222" s="53">
        <v>8007332.0</v>
      </c>
      <c r="G222" s="53"/>
      <c r="H222" s="48">
        <v>49023.0</v>
      </c>
      <c r="I222" s="48">
        <v>1.0768012E7</v>
      </c>
      <c r="J222" s="53">
        <v>363597.0</v>
      </c>
      <c r="K222" s="53">
        <v>8240704.0</v>
      </c>
      <c r="L222" s="28"/>
      <c r="M222" s="25">
        <f t="shared" si="44"/>
        <v>37823800</v>
      </c>
      <c r="N222" s="16">
        <f t="shared" si="45"/>
        <v>0.05615749741</v>
      </c>
      <c r="O222" s="16">
        <f t="shared" si="46"/>
        <v>1</v>
      </c>
    </row>
    <row r="223" ht="14.25" customHeight="1">
      <c r="A223" s="18" t="s">
        <v>31</v>
      </c>
      <c r="B223" s="48">
        <v>1583948.0</v>
      </c>
      <c r="C223" s="48">
        <v>5364971.0</v>
      </c>
      <c r="D223" s="53">
        <v>334868.0</v>
      </c>
      <c r="E223" s="53">
        <v>2281957.0</v>
      </c>
      <c r="F223" s="53">
        <v>7049827.0</v>
      </c>
      <c r="G223" s="53"/>
      <c r="H223" s="48">
        <v>44121.0</v>
      </c>
      <c r="I223" s="48">
        <v>1.0018512E7</v>
      </c>
      <c r="J223" s="53">
        <v>327237.0</v>
      </c>
      <c r="K223" s="53">
        <v>7427234.0</v>
      </c>
      <c r="L223" s="28"/>
      <c r="M223" s="25">
        <f t="shared" si="44"/>
        <v>34432675</v>
      </c>
      <c r="N223" s="16">
        <f t="shared" si="45"/>
        <v>0.05112264915</v>
      </c>
      <c r="O223" s="16">
        <f t="shared" si="46"/>
        <v>0.9103441484</v>
      </c>
    </row>
    <row r="224" ht="14.25" customHeight="1">
      <c r="A224" s="13" t="s">
        <v>32</v>
      </c>
      <c r="B224" s="48">
        <v>1790040.0</v>
      </c>
      <c r="C224" s="48">
        <v>5674080.0</v>
      </c>
      <c r="D224" s="53">
        <v>329924.0</v>
      </c>
      <c r="E224" s="53">
        <v>2601088.0</v>
      </c>
      <c r="F224" s="53">
        <v>8007332.0</v>
      </c>
      <c r="G224" s="53"/>
      <c r="H224" s="48">
        <v>49023.0</v>
      </c>
      <c r="I224" s="48">
        <v>1.0768012E7</v>
      </c>
      <c r="J224" s="53">
        <v>363597.0</v>
      </c>
      <c r="K224" s="53">
        <v>8240704.0</v>
      </c>
      <c r="L224" s="28"/>
      <c r="M224" s="25">
        <f t="shared" si="44"/>
        <v>37823800</v>
      </c>
      <c r="N224" s="16">
        <f t="shared" si="45"/>
        <v>0.05615749741</v>
      </c>
      <c r="O224" s="16">
        <f t="shared" si="46"/>
        <v>1</v>
      </c>
    </row>
    <row r="225" ht="14.25" customHeight="1">
      <c r="A225" s="37" t="s">
        <v>33</v>
      </c>
      <c r="B225" s="48" t="s">
        <v>49</v>
      </c>
      <c r="C225" s="48" t="s">
        <v>49</v>
      </c>
      <c r="D225" s="53" t="s">
        <v>49</v>
      </c>
      <c r="E225" s="53" t="s">
        <v>49</v>
      </c>
      <c r="F225" s="53" t="s">
        <v>49</v>
      </c>
      <c r="G225" s="53"/>
      <c r="H225" s="48" t="s">
        <v>49</v>
      </c>
      <c r="I225" s="48" t="s">
        <v>49</v>
      </c>
      <c r="J225" s="53" t="s">
        <v>49</v>
      </c>
      <c r="K225" s="53" t="s">
        <v>49</v>
      </c>
      <c r="L225" s="28"/>
      <c r="M225" s="28">
        <v>0.0</v>
      </c>
      <c r="N225" s="16">
        <f t="shared" si="45"/>
        <v>0</v>
      </c>
      <c r="O225" s="16">
        <f t="shared" si="46"/>
        <v>0</v>
      </c>
    </row>
    <row r="226" ht="14.25" customHeight="1">
      <c r="A226" s="18" t="s">
        <v>34</v>
      </c>
      <c r="B226" s="48">
        <v>1790040.0</v>
      </c>
      <c r="C226" s="48">
        <v>5674080.0</v>
      </c>
      <c r="D226" s="53">
        <v>329924.0</v>
      </c>
      <c r="E226" s="53">
        <v>2601088.0</v>
      </c>
      <c r="F226" s="53">
        <v>8007332.0</v>
      </c>
      <c r="G226" s="53"/>
      <c r="H226" s="48">
        <v>49023.0</v>
      </c>
      <c r="I226" s="48">
        <v>1.0768012E7</v>
      </c>
      <c r="J226" s="53">
        <v>363597.0</v>
      </c>
      <c r="K226" s="53">
        <v>8240704.0</v>
      </c>
      <c r="L226" s="28"/>
      <c r="M226" s="25">
        <f t="shared" ref="M226:M229" si="47">SUM(B226:L226)</f>
        <v>37823800</v>
      </c>
      <c r="N226" s="16">
        <f t="shared" si="45"/>
        <v>0.05615749741</v>
      </c>
      <c r="O226" s="16">
        <f t="shared" si="46"/>
        <v>1</v>
      </c>
    </row>
    <row r="227" ht="14.25" customHeight="1">
      <c r="A227" s="13" t="s">
        <v>35</v>
      </c>
      <c r="B227" s="48">
        <v>1445264.0</v>
      </c>
      <c r="C227" s="48">
        <v>4705074.0</v>
      </c>
      <c r="D227" s="53">
        <v>262796.0</v>
      </c>
      <c r="E227" s="53">
        <v>2150139.0</v>
      </c>
      <c r="F227" s="53">
        <v>6464846.0</v>
      </c>
      <c r="G227" s="53"/>
      <c r="H227" s="48">
        <v>49023.0</v>
      </c>
      <c r="I227" s="48">
        <v>8907621.0</v>
      </c>
      <c r="J227" s="53">
        <v>363597.0</v>
      </c>
      <c r="K227" s="53">
        <v>7922893.0</v>
      </c>
      <c r="L227" s="28"/>
      <c r="M227" s="25">
        <f t="shared" si="47"/>
        <v>32271253</v>
      </c>
      <c r="N227" s="16">
        <f t="shared" si="45"/>
        <v>0.04791355725</v>
      </c>
      <c r="O227" s="16">
        <f t="shared" si="46"/>
        <v>0.8531996521</v>
      </c>
    </row>
    <row r="228" ht="14.25" customHeight="1">
      <c r="A228" s="18" t="s">
        <v>36</v>
      </c>
      <c r="B228" s="48">
        <v>1790040.0</v>
      </c>
      <c r="C228" s="48">
        <v>5674080.0</v>
      </c>
      <c r="D228" s="53">
        <v>329924.0</v>
      </c>
      <c r="E228" s="53">
        <v>2601088.0</v>
      </c>
      <c r="F228" s="53">
        <v>8007332.0</v>
      </c>
      <c r="G228" s="53"/>
      <c r="H228" s="48">
        <v>49023.0</v>
      </c>
      <c r="I228" s="48">
        <v>1.0768012E7</v>
      </c>
      <c r="J228" s="14">
        <v>363597.0</v>
      </c>
      <c r="K228" s="14">
        <v>8240704.0</v>
      </c>
      <c r="L228" s="28"/>
      <c r="M228" s="25">
        <f t="shared" si="47"/>
        <v>37823800</v>
      </c>
      <c r="N228" s="16">
        <f t="shared" si="45"/>
        <v>0.05615749741</v>
      </c>
      <c r="O228" s="16">
        <f t="shared" si="46"/>
        <v>1</v>
      </c>
    </row>
    <row r="229" ht="14.25" customHeight="1">
      <c r="A229" s="4" t="s">
        <v>37</v>
      </c>
      <c r="B229" s="4" t="s">
        <v>49</v>
      </c>
      <c r="C229" s="4" t="s">
        <v>49</v>
      </c>
      <c r="D229" s="14" t="s">
        <v>49</v>
      </c>
      <c r="E229" s="56" t="s">
        <v>49</v>
      </c>
      <c r="F229" s="56" t="s">
        <v>49</v>
      </c>
      <c r="G229" s="56"/>
      <c r="H229" s="4" t="s">
        <v>49</v>
      </c>
      <c r="I229" s="4" t="s">
        <v>49</v>
      </c>
      <c r="J229" s="14">
        <v>119992.0</v>
      </c>
      <c r="K229" s="14">
        <v>1457792.0</v>
      </c>
      <c r="M229" s="25">
        <f t="shared" si="47"/>
        <v>1577784</v>
      </c>
      <c r="N229" s="16">
        <f t="shared" si="45"/>
        <v>0.002342556826</v>
      </c>
      <c r="O229" s="16">
        <f t="shared" si="46"/>
        <v>0.04171405306</v>
      </c>
    </row>
    <row r="230" ht="14.25" customHeight="1">
      <c r="M230" s="57">
        <f t="shared" ref="M230:N230" si="48">SUM(M209:M229)</f>
        <v>673530726</v>
      </c>
      <c r="N230" s="12">
        <f t="shared" si="48"/>
        <v>1</v>
      </c>
    </row>
    <row r="231" ht="14.25" customHeight="1"/>
    <row r="232" ht="14.25" customHeight="1">
      <c r="B232" s="30" t="s">
        <v>199</v>
      </c>
      <c r="C232" s="30" t="s">
        <v>200</v>
      </c>
      <c r="D232" s="30" t="s">
        <v>201</v>
      </c>
      <c r="E232" s="30" t="s">
        <v>202</v>
      </c>
      <c r="F232" s="30" t="s">
        <v>203</v>
      </c>
      <c r="G232" s="30" t="s">
        <v>204</v>
      </c>
      <c r="H232" s="30" t="s">
        <v>205</v>
      </c>
      <c r="I232" s="30" t="s">
        <v>206</v>
      </c>
      <c r="J232" s="30" t="s">
        <v>207</v>
      </c>
      <c r="K232" s="30" t="s">
        <v>208</v>
      </c>
      <c r="L232" s="6"/>
      <c r="M232" s="6" t="s">
        <v>4</v>
      </c>
    </row>
    <row r="233" ht="14.25" customHeight="1">
      <c r="A233" s="13" t="s">
        <v>5</v>
      </c>
      <c r="B233" s="51">
        <v>503686.0</v>
      </c>
      <c r="C233" s="45">
        <v>2177851.0</v>
      </c>
      <c r="D233" s="51">
        <v>292454.0</v>
      </c>
      <c r="E233" s="51">
        <v>7186461.0</v>
      </c>
      <c r="F233" s="51">
        <v>7566737.0</v>
      </c>
      <c r="G233" s="51">
        <v>1729110.0</v>
      </c>
      <c r="H233" s="58">
        <v>51196.0</v>
      </c>
      <c r="I233" s="51">
        <v>7567473.0</v>
      </c>
      <c r="J233" s="51">
        <v>469540.0</v>
      </c>
      <c r="K233" s="51">
        <v>1.9225665E7</v>
      </c>
      <c r="L233" s="28"/>
      <c r="M233" s="25">
        <f t="shared" ref="M233:M253" si="49">SUM(B233:L233)</f>
        <v>46770173</v>
      </c>
      <c r="N233" s="16">
        <f t="shared" ref="N233:N253" si="50">M233/$M$254</f>
        <v>0.05457707092</v>
      </c>
      <c r="O233" s="16">
        <f t="shared" ref="O233:O253" si="51">N233/$N$233</f>
        <v>1</v>
      </c>
    </row>
    <row r="234" ht="14.25" customHeight="1">
      <c r="A234" s="18" t="s">
        <v>18</v>
      </c>
      <c r="B234" s="53">
        <v>503686.0</v>
      </c>
      <c r="C234" s="48">
        <v>2177851.0</v>
      </c>
      <c r="D234" s="53">
        <v>292454.0</v>
      </c>
      <c r="E234" s="53">
        <v>7186461.0</v>
      </c>
      <c r="F234" s="53">
        <v>7566737.0</v>
      </c>
      <c r="G234" s="53">
        <v>1729110.0</v>
      </c>
      <c r="H234" s="53">
        <v>51196.0</v>
      </c>
      <c r="I234" s="53">
        <v>7567473.0</v>
      </c>
      <c r="J234" s="53">
        <v>469540.0</v>
      </c>
      <c r="K234" s="53">
        <v>1.9225665E7</v>
      </c>
      <c r="L234" s="28"/>
      <c r="M234" s="25">
        <f t="shared" si="49"/>
        <v>46770173</v>
      </c>
      <c r="N234" s="16">
        <f t="shared" si="50"/>
        <v>0.05457707092</v>
      </c>
      <c r="O234" s="16">
        <f t="shared" si="51"/>
        <v>1</v>
      </c>
    </row>
    <row r="235" ht="14.25" customHeight="1">
      <c r="A235" s="31" t="s">
        <v>19</v>
      </c>
      <c r="B235" s="53">
        <v>508216.0</v>
      </c>
      <c r="C235" s="48">
        <v>-332990.0</v>
      </c>
      <c r="D235" s="53">
        <v>-62493.0</v>
      </c>
      <c r="E235" s="53">
        <v>4294679.0</v>
      </c>
      <c r="F235" s="53">
        <v>8687018.0</v>
      </c>
      <c r="G235" s="53">
        <v>1539889.0</v>
      </c>
      <c r="H235" s="53">
        <v>51196.0</v>
      </c>
      <c r="I235" s="53">
        <v>6745446.0</v>
      </c>
      <c r="J235" s="53">
        <v>469540.0</v>
      </c>
      <c r="K235" s="53">
        <v>1.6253979E7</v>
      </c>
      <c r="L235" s="28"/>
      <c r="M235" s="25">
        <f t="shared" si="49"/>
        <v>38154480</v>
      </c>
      <c r="N235" s="16">
        <f t="shared" si="50"/>
        <v>0.04452324264</v>
      </c>
      <c r="O235" s="16">
        <f t="shared" si="51"/>
        <v>0.8157865912</v>
      </c>
    </row>
    <row r="236" ht="14.25" customHeight="1">
      <c r="A236" s="13" t="s">
        <v>20</v>
      </c>
      <c r="B236" s="53">
        <v>503686.0</v>
      </c>
      <c r="C236" s="48">
        <v>2177851.0</v>
      </c>
      <c r="D236" s="53">
        <v>292454.0</v>
      </c>
      <c r="E236" s="53">
        <v>7186461.0</v>
      </c>
      <c r="F236" s="53">
        <v>7566737.0</v>
      </c>
      <c r="G236" s="53">
        <v>1729110.0</v>
      </c>
      <c r="H236" s="53">
        <v>51196.0</v>
      </c>
      <c r="I236" s="53">
        <v>7567473.0</v>
      </c>
      <c r="J236" s="53">
        <v>469540.0</v>
      </c>
      <c r="K236" s="53">
        <v>1.9225665E7</v>
      </c>
      <c r="L236" s="28"/>
      <c r="M236" s="25">
        <f t="shared" si="49"/>
        <v>46770173</v>
      </c>
      <c r="N236" s="16">
        <f t="shared" si="50"/>
        <v>0.05457707092</v>
      </c>
      <c r="O236" s="16">
        <f t="shared" si="51"/>
        <v>1</v>
      </c>
    </row>
    <row r="237" ht="14.25" customHeight="1">
      <c r="A237" s="18" t="s">
        <v>21</v>
      </c>
      <c r="B237" s="53">
        <v>504099.0</v>
      </c>
      <c r="C237" s="48">
        <v>2179861.0</v>
      </c>
      <c r="D237" s="53">
        <v>292622.0</v>
      </c>
      <c r="E237" s="53">
        <v>7192234.0</v>
      </c>
      <c r="F237" s="53">
        <v>7572990.0</v>
      </c>
      <c r="G237" s="53">
        <v>1730539.0</v>
      </c>
      <c r="H237" s="53">
        <v>51196.0</v>
      </c>
      <c r="I237" s="53">
        <v>7567473.0</v>
      </c>
      <c r="J237" s="53">
        <v>469540.0</v>
      </c>
      <c r="K237" s="53">
        <v>1.9225665E7</v>
      </c>
      <c r="L237" s="28"/>
      <c r="M237" s="25">
        <f t="shared" si="49"/>
        <v>46786219</v>
      </c>
      <c r="N237" s="16">
        <f t="shared" si="50"/>
        <v>0.05459579532</v>
      </c>
      <c r="O237" s="16">
        <f t="shared" si="51"/>
        <v>1.000343082</v>
      </c>
    </row>
    <row r="238" ht="14.25" customHeight="1">
      <c r="A238" s="13" t="s">
        <v>22</v>
      </c>
      <c r="B238" s="53">
        <v>359952.0</v>
      </c>
      <c r="C238" s="48">
        <v>1556469.0</v>
      </c>
      <c r="D238" s="53">
        <v>208968.0</v>
      </c>
      <c r="E238" s="53">
        <v>5135660.0</v>
      </c>
      <c r="F238" s="53">
        <v>5407492.0</v>
      </c>
      <c r="G238" s="53">
        <v>1235691.0</v>
      </c>
      <c r="H238" s="53">
        <v>36569.0</v>
      </c>
      <c r="I238" s="53">
        <v>5405338.0</v>
      </c>
      <c r="J238" s="53">
        <v>335385.0</v>
      </c>
      <c r="K238" s="53">
        <v>1.3732618E7</v>
      </c>
      <c r="L238" s="28"/>
      <c r="M238" s="25">
        <f t="shared" si="49"/>
        <v>33414142</v>
      </c>
      <c r="N238" s="16">
        <f t="shared" si="50"/>
        <v>0.03899164533</v>
      </c>
      <c r="O238" s="16">
        <f t="shared" si="51"/>
        <v>0.7144327219</v>
      </c>
    </row>
    <row r="239" ht="14.25" customHeight="1">
      <c r="A239" s="18" t="s">
        <v>23</v>
      </c>
      <c r="B239" s="53">
        <v>503686.0</v>
      </c>
      <c r="C239" s="48">
        <v>2177851.0</v>
      </c>
      <c r="D239" s="53">
        <v>292454.0</v>
      </c>
      <c r="E239" s="53">
        <v>7186461.0</v>
      </c>
      <c r="F239" s="53">
        <v>7566737.0</v>
      </c>
      <c r="G239" s="53">
        <v>1729110.0</v>
      </c>
      <c r="H239" s="53">
        <v>51196.0</v>
      </c>
      <c r="I239" s="53">
        <v>7567473.0</v>
      </c>
      <c r="J239" s="53">
        <v>469540.0</v>
      </c>
      <c r="K239" s="53">
        <v>1.9225665E7</v>
      </c>
      <c r="L239" s="28"/>
      <c r="M239" s="25">
        <f t="shared" si="49"/>
        <v>46770173</v>
      </c>
      <c r="N239" s="16">
        <f t="shared" si="50"/>
        <v>0.05457707092</v>
      </c>
      <c r="O239" s="16">
        <f t="shared" si="51"/>
        <v>1</v>
      </c>
    </row>
    <row r="240" ht="14.25" customHeight="1">
      <c r="A240" s="13" t="s">
        <v>24</v>
      </c>
      <c r="B240" s="53">
        <v>359952.0</v>
      </c>
      <c r="C240" s="48">
        <v>1556469.0</v>
      </c>
      <c r="D240" s="53">
        <v>208968.0</v>
      </c>
      <c r="E240" s="53">
        <v>5135660.0</v>
      </c>
      <c r="F240" s="53">
        <v>5407492.0</v>
      </c>
      <c r="G240" s="53">
        <v>1235691.0</v>
      </c>
      <c r="H240" s="53">
        <v>36569.0</v>
      </c>
      <c r="I240" s="53">
        <v>5405338.0</v>
      </c>
      <c r="J240" s="53">
        <v>335385.0</v>
      </c>
      <c r="K240" s="53">
        <v>1.3732618E7</v>
      </c>
      <c r="L240" s="28"/>
      <c r="M240" s="25">
        <f t="shared" si="49"/>
        <v>33414142</v>
      </c>
      <c r="N240" s="16">
        <f t="shared" si="50"/>
        <v>0.03899164533</v>
      </c>
      <c r="O240" s="16">
        <f t="shared" si="51"/>
        <v>0.7144327219</v>
      </c>
    </row>
    <row r="241" ht="14.25" customHeight="1">
      <c r="A241" s="18" t="s">
        <v>25</v>
      </c>
      <c r="B241" s="53">
        <v>503686.0</v>
      </c>
      <c r="C241" s="48">
        <v>2177851.0</v>
      </c>
      <c r="D241" s="53">
        <v>292454.0</v>
      </c>
      <c r="E241" s="53">
        <v>7186461.0</v>
      </c>
      <c r="F241" s="53">
        <v>7566737.0</v>
      </c>
      <c r="G241" s="53">
        <v>1729110.0</v>
      </c>
      <c r="H241" s="53">
        <v>51196.0</v>
      </c>
      <c r="I241" s="53">
        <v>7567473.0</v>
      </c>
      <c r="J241" s="53">
        <v>469540.0</v>
      </c>
      <c r="K241" s="53">
        <v>1.9225665E7</v>
      </c>
      <c r="L241" s="29"/>
      <c r="M241" s="25">
        <f t="shared" si="49"/>
        <v>46770173</v>
      </c>
      <c r="N241" s="16">
        <f t="shared" si="50"/>
        <v>0.05457707092</v>
      </c>
      <c r="O241" s="16">
        <f t="shared" si="51"/>
        <v>1</v>
      </c>
    </row>
    <row r="242" ht="14.25" customHeight="1">
      <c r="A242" s="13" t="s">
        <v>26</v>
      </c>
      <c r="B242" s="53">
        <v>503686.0</v>
      </c>
      <c r="C242" s="48">
        <v>2177851.0</v>
      </c>
      <c r="D242" s="53">
        <v>292454.0</v>
      </c>
      <c r="E242" s="53">
        <v>7186461.0</v>
      </c>
      <c r="F242" s="53">
        <v>7566737.0</v>
      </c>
      <c r="G242" s="53">
        <v>1729110.0</v>
      </c>
      <c r="H242" s="53">
        <v>51196.0</v>
      </c>
      <c r="I242" s="53">
        <v>7567473.0</v>
      </c>
      <c r="J242" s="53">
        <v>469540.0</v>
      </c>
      <c r="K242" s="53">
        <v>1.9225665E7</v>
      </c>
      <c r="L242" s="28"/>
      <c r="M242" s="25">
        <f t="shared" si="49"/>
        <v>46770173</v>
      </c>
      <c r="N242" s="16">
        <f t="shared" si="50"/>
        <v>0.05457707092</v>
      </c>
      <c r="O242" s="16">
        <f t="shared" si="51"/>
        <v>1</v>
      </c>
    </row>
    <row r="243" ht="14.25" customHeight="1">
      <c r="A243" s="18" t="s">
        <v>27</v>
      </c>
      <c r="B243" s="53">
        <v>503686.0</v>
      </c>
      <c r="C243" s="48">
        <v>2177851.0</v>
      </c>
      <c r="D243" s="53">
        <v>292454.0</v>
      </c>
      <c r="E243" s="53">
        <v>7186461.0</v>
      </c>
      <c r="F243" s="53">
        <v>7566737.0</v>
      </c>
      <c r="G243" s="53">
        <v>1729110.0</v>
      </c>
      <c r="H243" s="53">
        <v>51196.0</v>
      </c>
      <c r="I243" s="53">
        <v>7567473.0</v>
      </c>
      <c r="J243" s="53">
        <v>469540.0</v>
      </c>
      <c r="K243" s="53">
        <v>1.9225665E7</v>
      </c>
      <c r="L243" s="28"/>
      <c r="M243" s="25">
        <f t="shared" si="49"/>
        <v>46770173</v>
      </c>
      <c r="N243" s="16">
        <f t="shared" si="50"/>
        <v>0.05457707092</v>
      </c>
      <c r="O243" s="16">
        <f t="shared" si="51"/>
        <v>1</v>
      </c>
    </row>
    <row r="244" ht="14.25" customHeight="1">
      <c r="A244" s="13" t="s">
        <v>28</v>
      </c>
      <c r="B244" s="53">
        <v>451168.0</v>
      </c>
      <c r="C244" s="48">
        <v>2195357.0</v>
      </c>
      <c r="D244" s="53">
        <v>262338.0</v>
      </c>
      <c r="E244" s="53">
        <v>6449484.0</v>
      </c>
      <c r="F244" s="53">
        <v>6781816.0</v>
      </c>
      <c r="G244" s="53">
        <v>1587819.0</v>
      </c>
      <c r="H244" s="53">
        <v>46077.0</v>
      </c>
      <c r="I244" s="53">
        <v>6864171.0</v>
      </c>
      <c r="J244" s="53">
        <v>422586.0</v>
      </c>
      <c r="K244" s="53">
        <v>1.7311576E7</v>
      </c>
      <c r="L244" s="28"/>
      <c r="M244" s="25">
        <f t="shared" si="49"/>
        <v>42372392</v>
      </c>
      <c r="N244" s="16">
        <f t="shared" si="50"/>
        <v>0.04944521037</v>
      </c>
      <c r="O244" s="16">
        <f t="shared" si="51"/>
        <v>0.9059703927</v>
      </c>
    </row>
    <row r="245" ht="14.25" customHeight="1">
      <c r="A245" s="18" t="s">
        <v>29</v>
      </c>
      <c r="B245" s="53">
        <v>503686.0</v>
      </c>
      <c r="C245" s="48">
        <v>2177851.0</v>
      </c>
      <c r="D245" s="53">
        <v>292454.0</v>
      </c>
      <c r="E245" s="53">
        <v>7186461.0</v>
      </c>
      <c r="F245" s="53">
        <v>7566737.0</v>
      </c>
      <c r="G245" s="53">
        <v>1729110.0</v>
      </c>
      <c r="H245" s="53">
        <v>51196.0</v>
      </c>
      <c r="I245" s="53">
        <v>7567473.0</v>
      </c>
      <c r="J245" s="53">
        <v>469540.0</v>
      </c>
      <c r="K245" s="53">
        <v>1.9225665E7</v>
      </c>
      <c r="L245" s="29"/>
      <c r="M245" s="25">
        <f t="shared" si="49"/>
        <v>46770173</v>
      </c>
      <c r="N245" s="16">
        <f t="shared" si="50"/>
        <v>0.05457707092</v>
      </c>
      <c r="O245" s="16">
        <f t="shared" si="51"/>
        <v>1</v>
      </c>
    </row>
    <row r="246" ht="14.25" customHeight="1">
      <c r="A246" s="13" t="s">
        <v>30</v>
      </c>
      <c r="B246" s="53">
        <v>503686.0</v>
      </c>
      <c r="C246" s="48">
        <v>2177851.0</v>
      </c>
      <c r="D246" s="53">
        <v>292454.0</v>
      </c>
      <c r="E246" s="53">
        <v>7186461.0</v>
      </c>
      <c r="F246" s="53">
        <v>7566737.0</v>
      </c>
      <c r="G246" s="53">
        <v>1729110.0</v>
      </c>
      <c r="H246" s="53">
        <v>51196.0</v>
      </c>
      <c r="I246" s="53">
        <v>7567473.0</v>
      </c>
      <c r="J246" s="53">
        <v>469540.0</v>
      </c>
      <c r="K246" s="53">
        <v>1.9225665E7</v>
      </c>
      <c r="L246" s="28"/>
      <c r="M246" s="25">
        <f t="shared" si="49"/>
        <v>46770173</v>
      </c>
      <c r="N246" s="16">
        <f t="shared" si="50"/>
        <v>0.05457707092</v>
      </c>
      <c r="O246" s="16">
        <f t="shared" si="51"/>
        <v>1</v>
      </c>
    </row>
    <row r="247" ht="14.25" customHeight="1">
      <c r="A247" s="18" t="s">
        <v>31</v>
      </c>
      <c r="B247" s="53">
        <v>451168.0</v>
      </c>
      <c r="C247" s="48">
        <v>2195357.0</v>
      </c>
      <c r="D247" s="53">
        <v>262338.0</v>
      </c>
      <c r="E247" s="53">
        <v>6449484.0</v>
      </c>
      <c r="F247" s="53">
        <v>6781816.0</v>
      </c>
      <c r="G247" s="53">
        <v>1587819.0</v>
      </c>
      <c r="H247" s="53">
        <v>46077.0</v>
      </c>
      <c r="I247" s="53">
        <v>6864171.0</v>
      </c>
      <c r="J247" s="53">
        <v>422586.0</v>
      </c>
      <c r="K247" s="53">
        <v>1.7311576E7</v>
      </c>
      <c r="L247" s="28"/>
      <c r="M247" s="25">
        <f t="shared" si="49"/>
        <v>42372392</v>
      </c>
      <c r="N247" s="16">
        <f t="shared" si="50"/>
        <v>0.04944521037</v>
      </c>
      <c r="O247" s="16">
        <f t="shared" si="51"/>
        <v>0.9059703927</v>
      </c>
    </row>
    <row r="248" ht="14.25" customHeight="1">
      <c r="A248" s="13" t="s">
        <v>32</v>
      </c>
      <c r="B248" s="53">
        <v>503686.0</v>
      </c>
      <c r="C248" s="48">
        <v>2177851.0</v>
      </c>
      <c r="D248" s="53">
        <v>292454.0</v>
      </c>
      <c r="E248" s="53">
        <v>7186461.0</v>
      </c>
      <c r="F248" s="53">
        <v>7566737.0</v>
      </c>
      <c r="G248" s="53">
        <v>1729110.0</v>
      </c>
      <c r="H248" s="53">
        <v>51196.0</v>
      </c>
      <c r="I248" s="53">
        <v>7567473.0</v>
      </c>
      <c r="J248" s="53">
        <v>469540.0</v>
      </c>
      <c r="K248" s="53">
        <v>1.9225665E7</v>
      </c>
      <c r="L248" s="28"/>
      <c r="M248" s="25">
        <f t="shared" si="49"/>
        <v>46770173</v>
      </c>
      <c r="N248" s="16">
        <f t="shared" si="50"/>
        <v>0.05457707092</v>
      </c>
      <c r="O248" s="16">
        <f t="shared" si="51"/>
        <v>1</v>
      </c>
    </row>
    <row r="249" ht="14.25" customHeight="1">
      <c r="A249" s="37" t="s">
        <v>33</v>
      </c>
      <c r="B249" s="53" t="s">
        <v>49</v>
      </c>
      <c r="C249" s="48" t="s">
        <v>49</v>
      </c>
      <c r="D249" s="53" t="s">
        <v>49</v>
      </c>
      <c r="E249" s="53" t="s">
        <v>49</v>
      </c>
      <c r="F249" s="53" t="s">
        <v>49</v>
      </c>
      <c r="G249" s="53" t="s">
        <v>49</v>
      </c>
      <c r="H249" s="53">
        <v>43883.0</v>
      </c>
      <c r="I249" s="53" t="s">
        <v>49</v>
      </c>
      <c r="J249" s="53">
        <v>402463.0</v>
      </c>
      <c r="K249" s="53">
        <v>6025067.0</v>
      </c>
      <c r="L249" s="28"/>
      <c r="M249" s="25">
        <f t="shared" si="49"/>
        <v>6471413</v>
      </c>
      <c r="N249" s="16">
        <f t="shared" si="50"/>
        <v>0.007551624114</v>
      </c>
      <c r="O249" s="16">
        <f t="shared" si="51"/>
        <v>0.1383662404</v>
      </c>
    </row>
    <row r="250" ht="14.25" customHeight="1">
      <c r="A250" s="18" t="s">
        <v>34</v>
      </c>
      <c r="B250" s="53">
        <v>503686.0</v>
      </c>
      <c r="C250" s="48">
        <v>2177851.0</v>
      </c>
      <c r="D250" s="53">
        <v>292454.0</v>
      </c>
      <c r="E250" s="53">
        <v>7186461.0</v>
      </c>
      <c r="F250" s="53">
        <v>7566737.0</v>
      </c>
      <c r="G250" s="53">
        <v>1729110.0</v>
      </c>
      <c r="H250" s="53">
        <v>51196.0</v>
      </c>
      <c r="I250" s="53">
        <v>7567473.0</v>
      </c>
      <c r="J250" s="53">
        <v>469540.0</v>
      </c>
      <c r="K250" s="53">
        <v>1.9225665E7</v>
      </c>
      <c r="L250" s="28"/>
      <c r="M250" s="25">
        <f t="shared" si="49"/>
        <v>46770173</v>
      </c>
      <c r="N250" s="16">
        <f t="shared" si="50"/>
        <v>0.05457707092</v>
      </c>
      <c r="O250" s="16">
        <f t="shared" si="51"/>
        <v>1</v>
      </c>
    </row>
    <row r="251" ht="14.25" customHeight="1">
      <c r="A251" s="13" t="s">
        <v>35</v>
      </c>
      <c r="B251" s="53">
        <v>411288.0</v>
      </c>
      <c r="C251" s="48">
        <v>1744548.0</v>
      </c>
      <c r="D251" s="53">
        <v>229038.0</v>
      </c>
      <c r="E251" s="53">
        <v>6281220.0</v>
      </c>
      <c r="F251" s="53">
        <v>6674331.0</v>
      </c>
      <c r="G251" s="53">
        <v>1687104.0</v>
      </c>
      <c r="H251" s="53">
        <v>51196.0</v>
      </c>
      <c r="I251" s="53">
        <v>7253160.0</v>
      </c>
      <c r="J251" s="53">
        <v>469540.0</v>
      </c>
      <c r="K251" s="53">
        <v>1.7493215E7</v>
      </c>
      <c r="L251" s="28"/>
      <c r="M251" s="25">
        <f t="shared" si="49"/>
        <v>42294640</v>
      </c>
      <c r="N251" s="16">
        <f t="shared" si="50"/>
        <v>0.04935447997</v>
      </c>
      <c r="O251" s="16">
        <f t="shared" si="51"/>
        <v>0.9043079657</v>
      </c>
    </row>
    <row r="252" ht="14.25" customHeight="1">
      <c r="A252" s="18" t="s">
        <v>36</v>
      </c>
      <c r="B252" s="53">
        <v>503686.0</v>
      </c>
      <c r="C252" s="48">
        <v>2177851.0</v>
      </c>
      <c r="D252" s="53">
        <v>292454.0</v>
      </c>
      <c r="E252" s="53">
        <v>7186461.0</v>
      </c>
      <c r="F252" s="53">
        <v>7566737.0</v>
      </c>
      <c r="G252" s="53">
        <v>1729110.0</v>
      </c>
      <c r="H252" s="53">
        <v>51196.0</v>
      </c>
      <c r="I252" s="53">
        <v>7567473.0</v>
      </c>
      <c r="J252" s="14">
        <v>469540.0</v>
      </c>
      <c r="K252" s="14">
        <v>1.9225665E7</v>
      </c>
      <c r="L252" s="28"/>
      <c r="M252" s="25">
        <f t="shared" si="49"/>
        <v>46770173</v>
      </c>
      <c r="N252" s="16">
        <f t="shared" si="50"/>
        <v>0.05457707092</v>
      </c>
      <c r="O252" s="16">
        <f t="shared" si="51"/>
        <v>1</v>
      </c>
    </row>
    <row r="253" ht="14.25" customHeight="1">
      <c r="A253" s="4" t="s">
        <v>37</v>
      </c>
      <c r="B253" s="14">
        <v>-9506.0</v>
      </c>
      <c r="C253" s="7">
        <v>-46233.0</v>
      </c>
      <c r="D253" s="14">
        <v>-3853.0</v>
      </c>
      <c r="E253" s="14">
        <v>1195579.0</v>
      </c>
      <c r="F253" s="14">
        <v>673554.0</v>
      </c>
      <c r="G253" s="14">
        <v>435361.0</v>
      </c>
      <c r="H253" s="14">
        <v>36569.0</v>
      </c>
      <c r="I253" s="14">
        <v>1973970.0</v>
      </c>
      <c r="J253" s="14">
        <v>335385.0</v>
      </c>
      <c r="K253" s="14">
        <v>5843729.0</v>
      </c>
      <c r="M253" s="25">
        <f t="shared" si="49"/>
        <v>10434555</v>
      </c>
      <c r="N253" s="16">
        <f t="shared" si="50"/>
        <v>0.01217629553</v>
      </c>
      <c r="O253" s="16">
        <f t="shared" si="51"/>
        <v>0.2231027668</v>
      </c>
    </row>
    <row r="254" ht="14.25" customHeight="1">
      <c r="M254" s="57">
        <f t="shared" ref="M254:N254" si="52">SUM(M233:M253)</f>
        <v>856956451</v>
      </c>
      <c r="N254" s="12">
        <f t="shared" si="52"/>
        <v>1</v>
      </c>
      <c r="O254" s="16"/>
    </row>
    <row r="255" ht="14.25" customHeight="1"/>
    <row r="256" ht="14.25" customHeight="1"/>
    <row r="257" ht="14.25" customHeight="1">
      <c r="B257" s="30" t="s">
        <v>235</v>
      </c>
      <c r="C257" s="30" t="s">
        <v>236</v>
      </c>
      <c r="D257" s="30" t="s">
        <v>237</v>
      </c>
      <c r="E257" s="30" t="s">
        <v>238</v>
      </c>
      <c r="F257" s="30" t="s">
        <v>240</v>
      </c>
      <c r="G257" s="30" t="s">
        <v>243</v>
      </c>
      <c r="H257" s="30" t="s">
        <v>245</v>
      </c>
      <c r="I257" s="30" t="s">
        <v>249</v>
      </c>
      <c r="J257" s="30" t="s">
        <v>251</v>
      </c>
      <c r="K257" s="30" t="s">
        <v>253</v>
      </c>
      <c r="L257" s="6"/>
      <c r="M257" s="6" t="s">
        <v>4</v>
      </c>
    </row>
    <row r="258" ht="14.25" customHeight="1">
      <c r="A258" s="13" t="s">
        <v>5</v>
      </c>
      <c r="B258" s="51">
        <v>89883.0</v>
      </c>
      <c r="C258" s="45">
        <v>953089.0</v>
      </c>
      <c r="D258" s="51">
        <v>293365.0</v>
      </c>
      <c r="E258" s="51">
        <v>5420303.0</v>
      </c>
      <c r="F258" s="51">
        <v>7923996.0</v>
      </c>
      <c r="G258" s="51">
        <v>2335092.0</v>
      </c>
      <c r="H258" s="53">
        <v>56740.0</v>
      </c>
      <c r="I258" s="51">
        <v>5445382.0</v>
      </c>
      <c r="J258" s="51">
        <v>200063.0</v>
      </c>
      <c r="K258" s="51">
        <v>38752.0</v>
      </c>
      <c r="L258" s="28">
        <v>7551066.0</v>
      </c>
      <c r="M258" s="25">
        <f t="shared" ref="M258:M278" si="53">SUM(B258:L258)</f>
        <v>30307731</v>
      </c>
      <c r="N258" s="16">
        <f t="shared" ref="N258:N278" si="54">M258/$M$279</f>
        <v>0.05188818444</v>
      </c>
      <c r="O258" s="16">
        <f t="shared" ref="O258:O278" si="55">N258/$N$258</f>
        <v>1</v>
      </c>
    </row>
    <row r="259" ht="14.25" customHeight="1">
      <c r="A259" s="18" t="s">
        <v>18</v>
      </c>
      <c r="B259" s="53">
        <v>89883.0</v>
      </c>
      <c r="C259" s="48">
        <v>953089.0</v>
      </c>
      <c r="D259" s="53">
        <v>293365.0</v>
      </c>
      <c r="E259" s="53">
        <v>5420303.0</v>
      </c>
      <c r="F259" s="53">
        <v>7923996.0</v>
      </c>
      <c r="G259" s="53">
        <v>2335092.0</v>
      </c>
      <c r="H259" s="53">
        <v>56740.0</v>
      </c>
      <c r="I259" s="53">
        <v>5445382.0</v>
      </c>
      <c r="J259" s="53">
        <v>200063.0</v>
      </c>
      <c r="K259" s="53">
        <v>38752.0</v>
      </c>
      <c r="L259" s="28">
        <v>7551066.0</v>
      </c>
      <c r="M259" s="25">
        <f t="shared" si="53"/>
        <v>30307731</v>
      </c>
      <c r="N259" s="16">
        <f t="shared" si="54"/>
        <v>0.05188818444</v>
      </c>
      <c r="O259" s="16">
        <f t="shared" si="55"/>
        <v>1</v>
      </c>
    </row>
    <row r="260" ht="14.25" customHeight="1">
      <c r="A260" s="31" t="s">
        <v>19</v>
      </c>
      <c r="B260" s="53">
        <v>50015.0</v>
      </c>
      <c r="C260" s="48">
        <v>876520.0</v>
      </c>
      <c r="D260" s="53">
        <v>134796.0</v>
      </c>
      <c r="E260" s="53">
        <v>5852888.0</v>
      </c>
      <c r="F260" s="53">
        <v>8589728.0</v>
      </c>
      <c r="G260" s="53">
        <v>2143328.0</v>
      </c>
      <c r="H260" s="53">
        <v>56740.0</v>
      </c>
      <c r="I260" s="53">
        <v>5445382.0</v>
      </c>
      <c r="J260" s="53">
        <v>200063.0</v>
      </c>
      <c r="K260" s="53">
        <v>31653.0</v>
      </c>
      <c r="L260" s="28">
        <v>7524579.0</v>
      </c>
      <c r="M260" s="25">
        <f t="shared" si="53"/>
        <v>30905692</v>
      </c>
      <c r="N260" s="16">
        <f t="shared" si="54"/>
        <v>0.05291192029</v>
      </c>
      <c r="O260" s="16">
        <f t="shared" si="55"/>
        <v>1.019729652</v>
      </c>
    </row>
    <row r="261" ht="14.25" customHeight="1">
      <c r="A261" s="13" t="s">
        <v>20</v>
      </c>
      <c r="B261" s="53">
        <v>89883.0</v>
      </c>
      <c r="C261" s="48">
        <v>953089.0</v>
      </c>
      <c r="D261" s="53">
        <v>293365.0</v>
      </c>
      <c r="E261" s="53">
        <v>5420303.0</v>
      </c>
      <c r="F261" s="53">
        <v>7923996.0</v>
      </c>
      <c r="G261" s="53">
        <v>2335092.0</v>
      </c>
      <c r="H261" s="53">
        <v>56740.0</v>
      </c>
      <c r="I261" s="53">
        <v>5445382.0</v>
      </c>
      <c r="J261" s="53">
        <v>200063.0</v>
      </c>
      <c r="K261" s="53">
        <v>38752.0</v>
      </c>
      <c r="L261" s="28">
        <v>7551066.0</v>
      </c>
      <c r="M261" s="25">
        <f t="shared" si="53"/>
        <v>30307731</v>
      </c>
      <c r="N261" s="16">
        <f t="shared" si="54"/>
        <v>0.05188818444</v>
      </c>
      <c r="O261" s="16">
        <f t="shared" si="55"/>
        <v>1</v>
      </c>
    </row>
    <row r="262" ht="14.25" customHeight="1">
      <c r="A262" s="18" t="s">
        <v>21</v>
      </c>
      <c r="B262" s="53">
        <v>89883.0</v>
      </c>
      <c r="C262" s="48">
        <v>953089.0</v>
      </c>
      <c r="D262" s="53">
        <v>293365.0</v>
      </c>
      <c r="E262" s="53">
        <v>5420303.0</v>
      </c>
      <c r="F262" s="53">
        <v>7923996.0</v>
      </c>
      <c r="G262" s="53">
        <v>2335092.0</v>
      </c>
      <c r="H262" s="53">
        <v>56740.0</v>
      </c>
      <c r="I262" s="53">
        <v>5445382.0</v>
      </c>
      <c r="J262" s="53">
        <v>200063.0</v>
      </c>
      <c r="K262" s="53">
        <v>38752.0</v>
      </c>
      <c r="L262" s="28">
        <v>7551066.0</v>
      </c>
      <c r="M262" s="25">
        <f t="shared" si="53"/>
        <v>30307731</v>
      </c>
      <c r="N262" s="16">
        <f t="shared" si="54"/>
        <v>0.05188818444</v>
      </c>
      <c r="O262" s="16">
        <f t="shared" si="55"/>
        <v>1</v>
      </c>
    </row>
    <row r="263" ht="14.25" customHeight="1">
      <c r="A263" s="13" t="s">
        <v>22</v>
      </c>
      <c r="B263" s="53">
        <v>64259.0</v>
      </c>
      <c r="C263" s="48">
        <v>680626.0</v>
      </c>
      <c r="D263" s="53">
        <v>209547.0</v>
      </c>
      <c r="E263" s="53">
        <v>3871645.0</v>
      </c>
      <c r="F263" s="53">
        <v>5659997.0</v>
      </c>
      <c r="G263" s="53">
        <v>1667923.0</v>
      </c>
      <c r="H263" s="53">
        <v>40529.0</v>
      </c>
      <c r="I263" s="53">
        <v>3889559.0</v>
      </c>
      <c r="J263" s="53">
        <v>142902.0</v>
      </c>
      <c r="K263" s="53">
        <v>27680.0</v>
      </c>
      <c r="L263" s="28">
        <v>5393619.0</v>
      </c>
      <c r="M263" s="25">
        <f t="shared" si="53"/>
        <v>21648286</v>
      </c>
      <c r="N263" s="16">
        <f t="shared" si="54"/>
        <v>0.03706282918</v>
      </c>
      <c r="O263" s="16">
        <f t="shared" si="55"/>
        <v>0.7142826363</v>
      </c>
    </row>
    <row r="264" ht="14.25" customHeight="1">
      <c r="A264" s="18" t="s">
        <v>23</v>
      </c>
      <c r="B264" s="53">
        <v>89883.0</v>
      </c>
      <c r="C264" s="48">
        <v>953089.0</v>
      </c>
      <c r="D264" s="53">
        <v>293365.0</v>
      </c>
      <c r="E264" s="53">
        <v>5420303.0</v>
      </c>
      <c r="F264" s="53">
        <v>7923996.0</v>
      </c>
      <c r="G264" s="53">
        <v>2335092.0</v>
      </c>
      <c r="H264" s="53">
        <v>56740.0</v>
      </c>
      <c r="I264" s="53">
        <v>5445382.0</v>
      </c>
      <c r="J264" s="53">
        <v>200063.0</v>
      </c>
      <c r="K264" s="53">
        <v>38752.0</v>
      </c>
      <c r="L264" s="28">
        <v>7551066.0</v>
      </c>
      <c r="M264" s="25">
        <f t="shared" si="53"/>
        <v>30307731</v>
      </c>
      <c r="N264" s="16">
        <f t="shared" si="54"/>
        <v>0.05188818444</v>
      </c>
      <c r="O264" s="16">
        <f t="shared" si="55"/>
        <v>1</v>
      </c>
    </row>
    <row r="265" ht="14.25" customHeight="1">
      <c r="A265" s="13" t="s">
        <v>24</v>
      </c>
      <c r="B265" s="53">
        <v>64259.0</v>
      </c>
      <c r="C265" s="48">
        <v>680626.0</v>
      </c>
      <c r="D265" s="53">
        <v>209547.0</v>
      </c>
      <c r="E265" s="53">
        <v>3871645.0</v>
      </c>
      <c r="F265" s="53">
        <v>5659997.0</v>
      </c>
      <c r="G265" s="53">
        <v>1667923.0</v>
      </c>
      <c r="H265" s="53">
        <v>40529.0</v>
      </c>
      <c r="I265" s="53">
        <v>3889559.0</v>
      </c>
      <c r="J265" s="53">
        <v>142902.0</v>
      </c>
      <c r="K265" s="53">
        <v>27680.0</v>
      </c>
      <c r="L265" s="28">
        <v>5393619.0</v>
      </c>
      <c r="M265" s="25">
        <f t="shared" si="53"/>
        <v>21648286</v>
      </c>
      <c r="N265" s="16">
        <f t="shared" si="54"/>
        <v>0.03706282918</v>
      </c>
      <c r="O265" s="16">
        <f t="shared" si="55"/>
        <v>0.7142826363</v>
      </c>
    </row>
    <row r="266" ht="14.25" customHeight="1">
      <c r="A266" s="18" t="s">
        <v>25</v>
      </c>
      <c r="B266" s="53">
        <v>89883.0</v>
      </c>
      <c r="C266" s="48">
        <v>953089.0</v>
      </c>
      <c r="D266" s="53">
        <v>293365.0</v>
      </c>
      <c r="E266" s="53">
        <v>5420303.0</v>
      </c>
      <c r="F266" s="53">
        <v>7923996.0</v>
      </c>
      <c r="G266" s="53">
        <v>2335092.0</v>
      </c>
      <c r="H266" s="53">
        <v>56740.0</v>
      </c>
      <c r="I266" s="53">
        <v>5445382.0</v>
      </c>
      <c r="J266" s="53">
        <v>200063.0</v>
      </c>
      <c r="K266" s="53">
        <v>38752.0</v>
      </c>
      <c r="L266" s="29">
        <v>7551066.0</v>
      </c>
      <c r="M266" s="25">
        <f t="shared" si="53"/>
        <v>30307731</v>
      </c>
      <c r="N266" s="16">
        <f t="shared" si="54"/>
        <v>0.05188818444</v>
      </c>
      <c r="O266" s="16">
        <f t="shared" si="55"/>
        <v>1</v>
      </c>
    </row>
    <row r="267" ht="14.25" customHeight="1">
      <c r="A267" s="13" t="s">
        <v>26</v>
      </c>
      <c r="B267" s="53">
        <v>89883.0</v>
      </c>
      <c r="C267" s="48">
        <v>953089.0</v>
      </c>
      <c r="D267" s="53">
        <v>293365.0</v>
      </c>
      <c r="E267" s="53">
        <v>5420303.0</v>
      </c>
      <c r="F267" s="53">
        <v>7923996.0</v>
      </c>
      <c r="G267" s="53">
        <v>2335092.0</v>
      </c>
      <c r="H267" s="53">
        <v>56740.0</v>
      </c>
      <c r="I267" s="53">
        <v>5445382.0</v>
      </c>
      <c r="J267" s="53">
        <v>200063.0</v>
      </c>
      <c r="K267" s="53">
        <v>38752.0</v>
      </c>
      <c r="L267" s="28">
        <v>7551066.0</v>
      </c>
      <c r="M267" s="25">
        <f t="shared" si="53"/>
        <v>30307731</v>
      </c>
      <c r="N267" s="16">
        <f t="shared" si="54"/>
        <v>0.05188818444</v>
      </c>
      <c r="O267" s="16">
        <f t="shared" si="55"/>
        <v>1</v>
      </c>
    </row>
    <row r="268" ht="14.25" customHeight="1">
      <c r="A268" s="18" t="s">
        <v>27</v>
      </c>
      <c r="B268" s="53">
        <v>89883.0</v>
      </c>
      <c r="C268" s="48">
        <v>953089.0</v>
      </c>
      <c r="D268" s="53">
        <v>293365.0</v>
      </c>
      <c r="E268" s="53">
        <v>5420303.0</v>
      </c>
      <c r="F268" s="53">
        <v>7923996.0</v>
      </c>
      <c r="G268" s="53">
        <v>2335092.0</v>
      </c>
      <c r="H268" s="53">
        <v>56740.0</v>
      </c>
      <c r="I268" s="53">
        <v>5445382.0</v>
      </c>
      <c r="J268" s="53">
        <v>200063.0</v>
      </c>
      <c r="K268" s="53">
        <v>38752.0</v>
      </c>
      <c r="L268" s="28">
        <v>7551066.0</v>
      </c>
      <c r="M268" s="25">
        <f t="shared" si="53"/>
        <v>30307731</v>
      </c>
      <c r="N268" s="16">
        <f t="shared" si="54"/>
        <v>0.05188818444</v>
      </c>
      <c r="O268" s="16">
        <f t="shared" si="55"/>
        <v>1</v>
      </c>
    </row>
    <row r="269" ht="14.25" customHeight="1">
      <c r="A269" s="13" t="s">
        <v>28</v>
      </c>
      <c r="B269" s="53">
        <v>82079.0</v>
      </c>
      <c r="C269" s="48">
        <v>872948.0</v>
      </c>
      <c r="D269" s="53">
        <v>280902.0</v>
      </c>
      <c r="E269" s="53">
        <v>4866682.0</v>
      </c>
      <c r="F269" s="53">
        <v>7114459.0</v>
      </c>
      <c r="G269" s="53">
        <v>2102913.0</v>
      </c>
      <c r="H269" s="53">
        <v>51066.0</v>
      </c>
      <c r="I269" s="53">
        <v>4900844.0</v>
      </c>
      <c r="J269" s="53">
        <v>180056.0</v>
      </c>
      <c r="K269" s="53">
        <v>34877.0</v>
      </c>
      <c r="L269" s="28">
        <v>6795960.0</v>
      </c>
      <c r="M269" s="25">
        <f t="shared" si="53"/>
        <v>27282786</v>
      </c>
      <c r="N269" s="16">
        <f t="shared" si="54"/>
        <v>0.04670934396</v>
      </c>
      <c r="O269" s="16">
        <f t="shared" si="55"/>
        <v>0.9001922975</v>
      </c>
    </row>
    <row r="270" ht="14.25" customHeight="1">
      <c r="A270" s="18" t="s">
        <v>29</v>
      </c>
      <c r="B270" s="53">
        <v>89883.0</v>
      </c>
      <c r="C270" s="48">
        <v>953089.0</v>
      </c>
      <c r="D270" s="53">
        <v>293365.0</v>
      </c>
      <c r="E270" s="53">
        <v>5420303.0</v>
      </c>
      <c r="F270" s="53">
        <v>7923996.0</v>
      </c>
      <c r="G270" s="53">
        <v>2335092.0</v>
      </c>
      <c r="H270" s="53">
        <v>56740.0</v>
      </c>
      <c r="I270" s="53">
        <v>5445382.0</v>
      </c>
      <c r="J270" s="53">
        <v>200063.0</v>
      </c>
      <c r="K270" s="53">
        <v>38752.0</v>
      </c>
      <c r="L270" s="29">
        <v>7551066.0</v>
      </c>
      <c r="M270" s="25">
        <f t="shared" si="53"/>
        <v>30307731</v>
      </c>
      <c r="N270" s="16">
        <f t="shared" si="54"/>
        <v>0.05188818444</v>
      </c>
      <c r="O270" s="16">
        <f t="shared" si="55"/>
        <v>1</v>
      </c>
    </row>
    <row r="271" ht="14.25" customHeight="1">
      <c r="A271" s="13" t="s">
        <v>30</v>
      </c>
      <c r="B271" s="53">
        <v>89883.0</v>
      </c>
      <c r="C271" s="48">
        <v>953089.0</v>
      </c>
      <c r="D271" s="53">
        <v>293365.0</v>
      </c>
      <c r="E271" s="53">
        <v>5420303.0</v>
      </c>
      <c r="F271" s="53">
        <v>7923996.0</v>
      </c>
      <c r="G271" s="53">
        <v>2335092.0</v>
      </c>
      <c r="H271" s="53">
        <v>56740.0</v>
      </c>
      <c r="I271" s="53">
        <v>5445382.0</v>
      </c>
      <c r="J271" s="53">
        <v>200063.0</v>
      </c>
      <c r="K271" s="53">
        <v>38752.0</v>
      </c>
      <c r="L271" s="28">
        <v>7551066.0</v>
      </c>
      <c r="M271" s="25">
        <f t="shared" si="53"/>
        <v>30307731</v>
      </c>
      <c r="N271" s="16">
        <f t="shared" si="54"/>
        <v>0.05188818444</v>
      </c>
      <c r="O271" s="16">
        <f t="shared" si="55"/>
        <v>1</v>
      </c>
    </row>
    <row r="272" ht="14.25" customHeight="1">
      <c r="A272" s="18" t="s">
        <v>31</v>
      </c>
      <c r="B272" s="53">
        <v>82079.0</v>
      </c>
      <c r="C272" s="48">
        <v>872948.0</v>
      </c>
      <c r="D272" s="53">
        <v>280902.0</v>
      </c>
      <c r="E272" s="53">
        <v>4866682.0</v>
      </c>
      <c r="F272" s="53">
        <v>7114459.0</v>
      </c>
      <c r="G272" s="53">
        <v>2102913.0</v>
      </c>
      <c r="H272" s="53">
        <v>51066.0</v>
      </c>
      <c r="I272" s="53">
        <v>4900844.0</v>
      </c>
      <c r="J272" s="53">
        <v>180056.0</v>
      </c>
      <c r="K272" s="53">
        <v>34877.0</v>
      </c>
      <c r="L272" s="28">
        <v>6795960.0</v>
      </c>
      <c r="M272" s="25">
        <f t="shared" si="53"/>
        <v>27282786</v>
      </c>
      <c r="N272" s="16">
        <f t="shared" si="54"/>
        <v>0.04670934396</v>
      </c>
      <c r="O272" s="16">
        <f t="shared" si="55"/>
        <v>0.9001922975</v>
      </c>
    </row>
    <row r="273" ht="14.25" customHeight="1">
      <c r="A273" s="13" t="s">
        <v>32</v>
      </c>
      <c r="B273" s="53">
        <v>89883.0</v>
      </c>
      <c r="C273" s="48">
        <v>953089.0</v>
      </c>
      <c r="D273" s="53">
        <v>293365.0</v>
      </c>
      <c r="E273" s="53">
        <v>5420303.0</v>
      </c>
      <c r="F273" s="53">
        <v>7923996.0</v>
      </c>
      <c r="G273" s="53">
        <v>2335092.0</v>
      </c>
      <c r="H273" s="53">
        <v>56740.0</v>
      </c>
      <c r="I273" s="53">
        <v>5445382.0</v>
      </c>
      <c r="J273" s="53">
        <v>200063.0</v>
      </c>
      <c r="K273" s="53">
        <v>38752.0</v>
      </c>
      <c r="L273" s="28">
        <v>7551066.0</v>
      </c>
      <c r="M273" s="25">
        <f t="shared" si="53"/>
        <v>30307731</v>
      </c>
      <c r="N273" s="16">
        <f t="shared" si="54"/>
        <v>0.05188818444</v>
      </c>
      <c r="O273" s="16">
        <f t="shared" si="55"/>
        <v>1</v>
      </c>
    </row>
    <row r="274" ht="14.25" customHeight="1">
      <c r="A274" s="37" t="s">
        <v>33</v>
      </c>
      <c r="B274" s="53" t="s">
        <v>49</v>
      </c>
      <c r="C274" s="48">
        <v>284254.0</v>
      </c>
      <c r="D274" s="53">
        <v>156910.0</v>
      </c>
      <c r="E274" s="53">
        <v>2699882.0</v>
      </c>
      <c r="F274" s="53">
        <v>1758487.0</v>
      </c>
      <c r="G274" s="53">
        <v>144350.0</v>
      </c>
      <c r="H274" s="53">
        <v>48634.0</v>
      </c>
      <c r="I274" s="53">
        <v>3320614.0</v>
      </c>
      <c r="J274" s="53">
        <v>171482.0</v>
      </c>
      <c r="K274" s="53">
        <v>15699.0</v>
      </c>
      <c r="L274" s="28">
        <v>6311640.0</v>
      </c>
      <c r="M274" s="25">
        <f t="shared" si="53"/>
        <v>14911952</v>
      </c>
      <c r="N274" s="16">
        <f t="shared" si="54"/>
        <v>0.02552992554</v>
      </c>
      <c r="O274" s="16">
        <f t="shared" si="55"/>
        <v>0.4920180927</v>
      </c>
    </row>
    <row r="275" ht="14.25" customHeight="1">
      <c r="A275" s="18" t="s">
        <v>34</v>
      </c>
      <c r="B275" s="53">
        <v>89883.0</v>
      </c>
      <c r="C275" s="48">
        <v>953089.0</v>
      </c>
      <c r="D275" s="53">
        <v>293365.0</v>
      </c>
      <c r="E275" s="53">
        <v>5420303.0</v>
      </c>
      <c r="F275" s="53">
        <v>7923996.0</v>
      </c>
      <c r="G275" s="53">
        <v>2335092.0</v>
      </c>
      <c r="H275" s="53">
        <v>56740.0</v>
      </c>
      <c r="I275" s="53">
        <v>5445382.0</v>
      </c>
      <c r="J275" s="53">
        <v>200063.0</v>
      </c>
      <c r="K275" s="53">
        <v>38752.0</v>
      </c>
      <c r="L275" s="28">
        <v>7551066.0</v>
      </c>
      <c r="M275" s="25">
        <f t="shared" si="53"/>
        <v>30307731</v>
      </c>
      <c r="N275" s="16">
        <f t="shared" si="54"/>
        <v>0.05188818444</v>
      </c>
      <c r="O275" s="16">
        <f t="shared" si="55"/>
        <v>1</v>
      </c>
    </row>
    <row r="276" ht="14.25" customHeight="1">
      <c r="A276" s="13" t="s">
        <v>35</v>
      </c>
      <c r="B276" s="53">
        <v>77989.0</v>
      </c>
      <c r="C276" s="48">
        <v>972478.0</v>
      </c>
      <c r="D276" s="53">
        <v>265959.0</v>
      </c>
      <c r="E276" s="53">
        <v>5209735.0</v>
      </c>
      <c r="F276" s="53">
        <v>8257389.0</v>
      </c>
      <c r="G276" s="53">
        <v>1987067.0</v>
      </c>
      <c r="H276" s="53">
        <v>56740.0</v>
      </c>
      <c r="I276" s="53">
        <v>5392991.0</v>
      </c>
      <c r="J276" s="53">
        <v>200063.0</v>
      </c>
      <c r="K276" s="53">
        <v>35991.0</v>
      </c>
      <c r="L276" s="28">
        <v>7541784.0</v>
      </c>
      <c r="M276" s="25">
        <f t="shared" si="53"/>
        <v>29998186</v>
      </c>
      <c r="N276" s="16">
        <f t="shared" si="54"/>
        <v>0.05135822962</v>
      </c>
      <c r="O276" s="16">
        <f t="shared" si="55"/>
        <v>0.9897865993</v>
      </c>
    </row>
    <row r="277" ht="14.25" customHeight="1">
      <c r="A277" s="18" t="s">
        <v>36</v>
      </c>
      <c r="B277" s="53">
        <v>89883.0</v>
      </c>
      <c r="C277" s="48">
        <v>953089.0</v>
      </c>
      <c r="D277" s="53">
        <v>293365.0</v>
      </c>
      <c r="E277" s="53">
        <v>5420303.0</v>
      </c>
      <c r="F277" s="53">
        <v>7923996.0</v>
      </c>
      <c r="G277" s="53">
        <v>2335092.0</v>
      </c>
      <c r="H277" s="53">
        <v>56740.0</v>
      </c>
      <c r="I277" s="53">
        <v>5445382.0</v>
      </c>
      <c r="J277" s="14">
        <v>200063.0</v>
      </c>
      <c r="K277" s="14">
        <v>38752.0</v>
      </c>
      <c r="L277" s="28">
        <v>7551066.0</v>
      </c>
      <c r="M277" s="25">
        <f t="shared" si="53"/>
        <v>30307731</v>
      </c>
      <c r="N277" s="16">
        <f t="shared" si="54"/>
        <v>0.05188818444</v>
      </c>
      <c r="O277" s="16">
        <f t="shared" si="55"/>
        <v>1</v>
      </c>
    </row>
    <row r="278" ht="14.25" customHeight="1">
      <c r="A278" s="4" t="s">
        <v>37</v>
      </c>
      <c r="B278" s="53">
        <v>27420.0</v>
      </c>
      <c r="C278" s="7">
        <v>504258.0</v>
      </c>
      <c r="D278" s="14">
        <v>122812.0</v>
      </c>
      <c r="E278" s="14">
        <v>2504851.0</v>
      </c>
      <c r="F278" s="14">
        <v>4227338.0</v>
      </c>
      <c r="G278" s="14">
        <v>130814.0</v>
      </c>
      <c r="H278" s="53">
        <v>40529.0</v>
      </c>
      <c r="I278" s="14">
        <v>3344013.0</v>
      </c>
      <c r="J278" s="14">
        <v>142902.0</v>
      </c>
      <c r="K278" s="14">
        <v>13083.0</v>
      </c>
      <c r="L278" s="7">
        <v>5360467.0</v>
      </c>
      <c r="M278" s="25">
        <f t="shared" si="53"/>
        <v>16418487</v>
      </c>
      <c r="N278" s="16">
        <f t="shared" si="54"/>
        <v>0.02810918052</v>
      </c>
      <c r="O278" s="16">
        <f t="shared" si="55"/>
        <v>0.5417260368</v>
      </c>
    </row>
    <row r="279" ht="14.25" customHeight="1">
      <c r="M279" s="57">
        <f t="shared" ref="M279:N279" si="56">SUM(M258:M278)</f>
        <v>584096964</v>
      </c>
      <c r="N279" s="12">
        <f t="shared" si="56"/>
        <v>1</v>
      </c>
      <c r="O279" s="16"/>
    </row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43"/>
  </cols>
  <sheetData>
    <row r="1" ht="15.0" customHeight="1">
      <c r="A1" s="39" t="s">
        <v>95</v>
      </c>
      <c r="B1" s="40" t="s">
        <v>96</v>
      </c>
      <c r="C1" s="40" t="s">
        <v>97</v>
      </c>
      <c r="D1" s="40" t="s">
        <v>98</v>
      </c>
      <c r="E1" s="40" t="s">
        <v>99</v>
      </c>
      <c r="F1" s="40" t="s">
        <v>100</v>
      </c>
      <c r="G1" s="40" t="s">
        <v>101</v>
      </c>
      <c r="H1" s="40" t="s">
        <v>102</v>
      </c>
      <c r="I1" s="41" t="s">
        <v>103</v>
      </c>
      <c r="J1" s="41" t="s">
        <v>14</v>
      </c>
      <c r="K1" s="40" t="s">
        <v>104</v>
      </c>
      <c r="L1" s="42" t="s">
        <v>4</v>
      </c>
    </row>
    <row r="2" ht="15.0" customHeight="1">
      <c r="A2" s="40" t="s">
        <v>5</v>
      </c>
      <c r="B2" s="43">
        <v>304803.4178680684</v>
      </c>
      <c r="C2" s="40">
        <v>875553.7588994692</v>
      </c>
      <c r="D2" s="43">
        <v>239516.6051276632</v>
      </c>
      <c r="E2" s="43"/>
      <c r="F2" s="43"/>
      <c r="G2" s="43">
        <v>371938.6051565558</v>
      </c>
      <c r="H2" s="43">
        <v>29623.501193333337</v>
      </c>
      <c r="I2" s="43">
        <v>7272.0841176470585</v>
      </c>
      <c r="J2" s="40">
        <v>1502375.1243791324</v>
      </c>
      <c r="K2" s="40"/>
      <c r="L2" s="43">
        <f t="shared" ref="L2:L18" si="1">SUM(B2:J2)</f>
        <v>3331083.097</v>
      </c>
      <c r="M2" s="44">
        <f t="shared" ref="M2:M18" si="2">L2/SUM(L$2:L$18)</f>
        <v>0.06257490653</v>
      </c>
    </row>
    <row r="3" ht="15.0" customHeight="1">
      <c r="A3" s="40" t="s">
        <v>18</v>
      </c>
      <c r="B3" s="43">
        <v>304721.67725056544</v>
      </c>
      <c r="C3" s="40">
        <v>875553.7588994692</v>
      </c>
      <c r="D3" s="43">
        <v>239511.5225691139</v>
      </c>
      <c r="E3" s="43"/>
      <c r="F3" s="43"/>
      <c r="G3" s="43">
        <v>381726.4227785069</v>
      </c>
      <c r="H3" s="43">
        <v>29623.501193333337</v>
      </c>
      <c r="I3" s="43">
        <v>7272.0841176470585</v>
      </c>
      <c r="J3" s="40">
        <v>1502375.1243791324</v>
      </c>
      <c r="K3" s="40"/>
      <c r="L3" s="43">
        <f t="shared" si="1"/>
        <v>3340784.091</v>
      </c>
      <c r="M3" s="44">
        <f t="shared" si="2"/>
        <v>0.0627571412</v>
      </c>
    </row>
    <row r="4" ht="15.0" customHeight="1">
      <c r="A4" s="40" t="s">
        <v>20</v>
      </c>
      <c r="B4" s="43">
        <v>304542.479682484</v>
      </c>
      <c r="C4" s="40">
        <v>875553.7588994692</v>
      </c>
      <c r="D4" s="43">
        <v>239500.38022446958</v>
      </c>
      <c r="E4" s="43"/>
      <c r="F4" s="43"/>
      <c r="G4" s="43">
        <v>392232.3033620778</v>
      </c>
      <c r="H4" s="43">
        <v>29623.501193333337</v>
      </c>
      <c r="I4" s="43">
        <v>7272.0841176470585</v>
      </c>
      <c r="J4" s="40">
        <v>1502375.1243791324</v>
      </c>
      <c r="K4" s="40"/>
      <c r="L4" s="43">
        <f t="shared" si="1"/>
        <v>3351099.632</v>
      </c>
      <c r="M4" s="44">
        <f t="shared" si="2"/>
        <v>0.06295092021</v>
      </c>
    </row>
    <row r="5" ht="15.0" customHeight="1">
      <c r="A5" s="40" t="s">
        <v>22</v>
      </c>
      <c r="B5" s="43">
        <v>106223.08531253954</v>
      </c>
      <c r="C5" s="40">
        <v>124286.53471322634</v>
      </c>
      <c r="D5" s="43">
        <v>121987.55941151793</v>
      </c>
      <c r="E5" s="43"/>
      <c r="F5" s="43"/>
      <c r="G5" s="43">
        <v>311692.9282817199</v>
      </c>
      <c r="H5" s="43">
        <v>0.0</v>
      </c>
      <c r="I5" s="43">
        <v>7272.0841176470585</v>
      </c>
      <c r="J5" s="40">
        <v>837255.9871565079</v>
      </c>
      <c r="K5" s="40"/>
      <c r="L5" s="43">
        <f t="shared" si="1"/>
        <v>1508718.179</v>
      </c>
      <c r="M5" s="44">
        <f t="shared" si="2"/>
        <v>0.02834150223</v>
      </c>
    </row>
    <row r="6" ht="15.0" customHeight="1">
      <c r="A6" s="40" t="s">
        <v>23</v>
      </c>
      <c r="B6" s="43">
        <v>304542.4796869935</v>
      </c>
      <c r="C6" s="40">
        <v>875553.7588994692</v>
      </c>
      <c r="D6" s="43">
        <v>239500.38022474997</v>
      </c>
      <c r="E6" s="43"/>
      <c r="F6" s="43"/>
      <c r="G6" s="43">
        <v>392232.3033620778</v>
      </c>
      <c r="H6" s="43">
        <v>29623.501193333337</v>
      </c>
      <c r="I6" s="43">
        <v>7272.0841176470585</v>
      </c>
      <c r="J6" s="40">
        <v>1502375.1243791324</v>
      </c>
      <c r="K6" s="40"/>
      <c r="L6" s="43">
        <f t="shared" si="1"/>
        <v>3351099.632</v>
      </c>
      <c r="M6" s="44">
        <f t="shared" si="2"/>
        <v>0.06295092021</v>
      </c>
    </row>
    <row r="7" ht="15.0" customHeight="1">
      <c r="A7" s="40" t="s">
        <v>24</v>
      </c>
      <c r="B7" s="43">
        <v>304542.4796847056</v>
      </c>
      <c r="C7" s="40">
        <v>875553.7588994692</v>
      </c>
      <c r="D7" s="43">
        <v>239500.3802246077</v>
      </c>
      <c r="E7" s="43"/>
      <c r="F7" s="43"/>
      <c r="G7" s="43">
        <v>392232.3033620778</v>
      </c>
      <c r="H7" s="43">
        <v>29623.501193333337</v>
      </c>
      <c r="I7" s="43">
        <v>7272.0841176470585</v>
      </c>
      <c r="J7" s="40">
        <v>1502375.1243791324</v>
      </c>
      <c r="K7" s="40"/>
      <c r="L7" s="43">
        <f t="shared" si="1"/>
        <v>3351099.632</v>
      </c>
      <c r="M7" s="44">
        <f t="shared" si="2"/>
        <v>0.06295092021</v>
      </c>
      <c r="O7" s="21">
        <f>L2/354</f>
        <v>9409.839256</v>
      </c>
    </row>
    <row r="8" ht="15.0" customHeight="1">
      <c r="A8" s="40" t="s">
        <v>25</v>
      </c>
      <c r="B8" s="43">
        <v>304542.4796828374</v>
      </c>
      <c r="C8" s="40">
        <v>875553.7588994692</v>
      </c>
      <c r="D8" s="43">
        <v>239500.38022449156</v>
      </c>
      <c r="E8" s="43"/>
      <c r="F8" s="43"/>
      <c r="G8" s="43">
        <v>392232.3033620778</v>
      </c>
      <c r="H8" s="43">
        <v>29623.501193333337</v>
      </c>
      <c r="I8" s="43">
        <v>7272.0841176470585</v>
      </c>
      <c r="J8" s="40">
        <v>1502375.1243791324</v>
      </c>
      <c r="K8" s="40"/>
      <c r="L8" s="43">
        <f t="shared" si="1"/>
        <v>3351099.632</v>
      </c>
      <c r="M8" s="44">
        <f t="shared" si="2"/>
        <v>0.06295092021</v>
      </c>
    </row>
    <row r="9" ht="15.0" customHeight="1">
      <c r="A9" s="40" t="s">
        <v>26</v>
      </c>
      <c r="B9" s="43">
        <v>304542.4796827801</v>
      </c>
      <c r="C9" s="40">
        <v>875553.7588994692</v>
      </c>
      <c r="D9" s="43">
        <v>239500.380224488</v>
      </c>
      <c r="E9" s="43"/>
      <c r="F9" s="43"/>
      <c r="G9" s="43">
        <v>392232.3033620778</v>
      </c>
      <c r="H9" s="43">
        <v>29623.501193333337</v>
      </c>
      <c r="I9" s="43">
        <v>7272.0841176470585</v>
      </c>
      <c r="J9" s="40">
        <v>1502375.1243791324</v>
      </c>
      <c r="K9" s="40"/>
      <c r="L9" s="43">
        <f t="shared" si="1"/>
        <v>3351099.632</v>
      </c>
      <c r="M9" s="44">
        <f t="shared" si="2"/>
        <v>0.06295092021</v>
      </c>
    </row>
    <row r="10" ht="15.0" customHeight="1">
      <c r="A10" s="40" t="s">
        <v>27</v>
      </c>
      <c r="B10" s="43">
        <v>304542.4796827228</v>
      </c>
      <c r="C10" s="40">
        <v>875553.7588994692</v>
      </c>
      <c r="D10" s="43">
        <v>239500.38022448443</v>
      </c>
      <c r="E10" s="43"/>
      <c r="F10" s="43"/>
      <c r="G10" s="43">
        <v>392232.3033620778</v>
      </c>
      <c r="H10" s="43">
        <v>29623.501193333337</v>
      </c>
      <c r="I10" s="43">
        <v>7272.0841176470585</v>
      </c>
      <c r="J10" s="40">
        <v>1502375.1243791324</v>
      </c>
      <c r="K10" s="40"/>
      <c r="L10" s="43">
        <f t="shared" si="1"/>
        <v>3351099.632</v>
      </c>
      <c r="M10" s="44">
        <f t="shared" si="2"/>
        <v>0.06295092021</v>
      </c>
    </row>
    <row r="11" ht="15.0" customHeight="1">
      <c r="A11" s="40" t="s">
        <v>28</v>
      </c>
      <c r="B11" s="43">
        <v>304542.4796850602</v>
      </c>
      <c r="C11" s="40">
        <v>875553.7588994692</v>
      </c>
      <c r="D11" s="43">
        <v>239500.38022462974</v>
      </c>
      <c r="E11" s="43"/>
      <c r="F11" s="43"/>
      <c r="G11" s="43">
        <v>392232.3033620778</v>
      </c>
      <c r="H11" s="43">
        <v>29623.501193333337</v>
      </c>
      <c r="I11" s="43">
        <v>7272.0841176470585</v>
      </c>
      <c r="J11" s="40">
        <v>1502375.1243791324</v>
      </c>
      <c r="K11" s="40"/>
      <c r="L11" s="43">
        <f t="shared" si="1"/>
        <v>3351099.632</v>
      </c>
      <c r="M11" s="44">
        <f t="shared" si="2"/>
        <v>0.06295092021</v>
      </c>
    </row>
    <row r="12" ht="15.0" customHeight="1">
      <c r="A12" s="40" t="s">
        <v>29</v>
      </c>
      <c r="B12" s="43">
        <v>304542.4796813346</v>
      </c>
      <c r="C12" s="40">
        <v>875553.7588994692</v>
      </c>
      <c r="D12" s="43">
        <v>239500.38022439813</v>
      </c>
      <c r="E12" s="43"/>
      <c r="F12" s="43"/>
      <c r="G12" s="43">
        <v>392232.3033620778</v>
      </c>
      <c r="H12" s="43">
        <v>29623.501193333337</v>
      </c>
      <c r="I12" s="43">
        <v>7272.0841176470585</v>
      </c>
      <c r="J12" s="40">
        <v>1502375.1243791324</v>
      </c>
      <c r="K12" s="40"/>
      <c r="L12" s="43">
        <f t="shared" si="1"/>
        <v>3351099.632</v>
      </c>
      <c r="M12" s="44">
        <f t="shared" si="2"/>
        <v>0.06295092021</v>
      </c>
    </row>
    <row r="13" ht="15.0" customHeight="1">
      <c r="A13" s="40" t="s">
        <v>30</v>
      </c>
      <c r="B13" s="43">
        <v>304542.47968255094</v>
      </c>
      <c r="C13" s="40">
        <v>875553.7588994692</v>
      </c>
      <c r="D13" s="43">
        <v>239500.38022447372</v>
      </c>
      <c r="E13" s="43"/>
      <c r="F13" s="43"/>
      <c r="G13" s="43">
        <v>392232.3033620778</v>
      </c>
      <c r="H13" s="43">
        <v>29623.501193333337</v>
      </c>
      <c r="I13" s="43">
        <v>7272.0841176470585</v>
      </c>
      <c r="J13" s="40">
        <v>1502375.1243791324</v>
      </c>
      <c r="K13" s="40"/>
      <c r="L13" s="43">
        <f t="shared" si="1"/>
        <v>3351099.632</v>
      </c>
      <c r="M13" s="44">
        <f t="shared" si="2"/>
        <v>0.06295092021</v>
      </c>
    </row>
    <row r="14" ht="15.0" customHeight="1">
      <c r="A14" s="40" t="s">
        <v>31</v>
      </c>
      <c r="B14" s="43">
        <v>304542.47968249366</v>
      </c>
      <c r="C14" s="40">
        <v>875553.7588994692</v>
      </c>
      <c r="D14" s="43">
        <v>239500.38022447017</v>
      </c>
      <c r="E14" s="43"/>
      <c r="F14" s="43"/>
      <c r="G14" s="43">
        <v>392232.3033620778</v>
      </c>
      <c r="H14" s="43">
        <v>29623.501193333337</v>
      </c>
      <c r="I14" s="43">
        <v>7272.0841176470585</v>
      </c>
      <c r="J14" s="40">
        <v>1502375.1243791324</v>
      </c>
      <c r="K14" s="40"/>
      <c r="L14" s="43">
        <f t="shared" si="1"/>
        <v>3351099.632</v>
      </c>
      <c r="M14" s="44">
        <f t="shared" si="2"/>
        <v>0.06295092021</v>
      </c>
    </row>
    <row r="15" ht="15.0" customHeight="1">
      <c r="A15" s="40" t="s">
        <v>32</v>
      </c>
      <c r="B15" s="43">
        <v>304542.47968116263</v>
      </c>
      <c r="C15" s="40">
        <v>875553.7588994692</v>
      </c>
      <c r="D15" s="43">
        <v>239500.38022438742</v>
      </c>
      <c r="E15" s="43"/>
      <c r="F15" s="43"/>
      <c r="G15" s="43">
        <v>392232.3033620778</v>
      </c>
      <c r="H15" s="43">
        <v>29623.501193333337</v>
      </c>
      <c r="I15" s="43">
        <v>7272.0841176470585</v>
      </c>
      <c r="J15" s="40">
        <v>1502375.1243791324</v>
      </c>
      <c r="K15" s="40"/>
      <c r="L15" s="43">
        <f t="shared" si="1"/>
        <v>3351099.632</v>
      </c>
      <c r="M15" s="44">
        <f t="shared" si="2"/>
        <v>0.06295092021</v>
      </c>
    </row>
    <row r="16" ht="15.0" customHeight="1">
      <c r="A16" s="40" t="s">
        <v>34</v>
      </c>
      <c r="B16" s="43">
        <v>304753.23796032224</v>
      </c>
      <c r="C16" s="40">
        <v>875553.7588994692</v>
      </c>
      <c r="D16" s="43">
        <v>239513.48498584254</v>
      </c>
      <c r="E16" s="43"/>
      <c r="F16" s="43"/>
      <c r="G16" s="43">
        <v>371938.6051565558</v>
      </c>
      <c r="H16" s="43">
        <v>29623.501193333337</v>
      </c>
      <c r="I16" s="43">
        <v>7272.0841176470585</v>
      </c>
      <c r="J16" s="40">
        <v>1502375.1243791324</v>
      </c>
      <c r="K16" s="40"/>
      <c r="L16" s="43">
        <f t="shared" si="1"/>
        <v>3331029.797</v>
      </c>
      <c r="M16" s="44">
        <f t="shared" si="2"/>
        <v>0.06257390528</v>
      </c>
    </row>
    <row r="17" ht="15.0" customHeight="1">
      <c r="A17" s="40" t="s">
        <v>35</v>
      </c>
      <c r="B17" s="43">
        <v>304542.47968611564</v>
      </c>
      <c r="C17" s="40">
        <v>875553.7588994692</v>
      </c>
      <c r="D17" s="43">
        <v>239500.38022469537</v>
      </c>
      <c r="E17" s="43"/>
      <c r="F17" s="43"/>
      <c r="G17" s="43">
        <v>392232.3033620778</v>
      </c>
      <c r="H17" s="43">
        <v>29623.501193333337</v>
      </c>
      <c r="I17" s="43">
        <v>7272.0841176470585</v>
      </c>
      <c r="J17" s="40">
        <v>1502375.1243791324</v>
      </c>
      <c r="K17" s="40"/>
      <c r="L17" s="43">
        <f t="shared" si="1"/>
        <v>3351099.632</v>
      </c>
      <c r="M17" s="44">
        <f t="shared" si="2"/>
        <v>0.06295092021</v>
      </c>
    </row>
    <row r="18" ht="15.0" customHeight="1">
      <c r="A18" s="40" t="s">
        <v>36</v>
      </c>
      <c r="B18" s="43">
        <v>106223.08531253954</v>
      </c>
      <c r="C18" s="40">
        <v>124286.53471322634</v>
      </c>
      <c r="D18" s="43">
        <v>121987.55941151793</v>
      </c>
      <c r="E18" s="43"/>
      <c r="F18" s="43"/>
      <c r="G18" s="43">
        <v>311692.9282817199</v>
      </c>
      <c r="H18" s="43">
        <v>0.0</v>
      </c>
      <c r="I18" s="43">
        <v>7272.0841176470585</v>
      </c>
      <c r="J18" s="40">
        <v>837255.9871565079</v>
      </c>
      <c r="K18" s="40"/>
      <c r="L18" s="43">
        <f t="shared" si="1"/>
        <v>1508718.179</v>
      </c>
      <c r="M18" s="44">
        <f t="shared" si="2"/>
        <v>0.02834150223</v>
      </c>
    </row>
    <row r="19" ht="15.0" customHeight="1">
      <c r="A19" s="42" t="s">
        <v>38</v>
      </c>
      <c r="B19" s="43">
        <f t="shared" ref="B19:E19" si="3">SUM(B2:B18)</f>
        <v>4781234.26</v>
      </c>
      <c r="C19" s="43">
        <f t="shared" si="3"/>
        <v>13381879.45</v>
      </c>
      <c r="D19" s="43">
        <f t="shared" si="3"/>
        <v>3836521.294</v>
      </c>
      <c r="E19" s="43">
        <f t="shared" si="3"/>
        <v>0</v>
      </c>
      <c r="F19" s="43"/>
      <c r="G19" s="43">
        <f t="shared" ref="G19:J19" si="4">SUM(G2:G18)</f>
        <v>6455777.13</v>
      </c>
      <c r="H19" s="43">
        <f t="shared" si="4"/>
        <v>444352.5179</v>
      </c>
      <c r="I19" s="43">
        <f t="shared" si="4"/>
        <v>123625.43</v>
      </c>
      <c r="J19" s="43">
        <f t="shared" si="4"/>
        <v>24210138.84</v>
      </c>
      <c r="K19" s="43"/>
      <c r="L19" s="43">
        <f t="shared" ref="L19:M19" si="5">SUM(L2:L18)</f>
        <v>53233528.92</v>
      </c>
      <c r="M19" s="44">
        <f t="shared" si="5"/>
        <v>1</v>
      </c>
    </row>
    <row r="22" ht="15.0" customHeight="1">
      <c r="A22" s="42" t="s">
        <v>3</v>
      </c>
      <c r="B22" s="40" t="s">
        <v>39</v>
      </c>
      <c r="C22" s="40" t="s">
        <v>40</v>
      </c>
      <c r="D22" s="40" t="s">
        <v>115</v>
      </c>
      <c r="E22" s="40" t="s">
        <v>116</v>
      </c>
      <c r="F22" s="40" t="s">
        <v>99</v>
      </c>
      <c r="G22" s="40" t="s">
        <v>117</v>
      </c>
      <c r="H22" s="40" t="s">
        <v>118</v>
      </c>
      <c r="I22" s="41" t="s">
        <v>119</v>
      </c>
      <c r="J22" s="41" t="s">
        <v>120</v>
      </c>
      <c r="K22" s="40" t="s">
        <v>121</v>
      </c>
      <c r="L22" s="42" t="s">
        <v>4</v>
      </c>
    </row>
    <row r="23" ht="15.0" customHeight="1">
      <c r="A23" s="40" t="s">
        <v>5</v>
      </c>
      <c r="B23" s="43">
        <v>354427.2232245713</v>
      </c>
      <c r="C23" s="40">
        <v>320582.0962005747</v>
      </c>
      <c r="D23" s="43">
        <v>825847.0927770177</v>
      </c>
      <c r="E23" s="43">
        <v>112788.54267995803</v>
      </c>
      <c r="F23" s="43"/>
      <c r="G23" s="43">
        <v>483150.4242921893</v>
      </c>
      <c r="H23" s="43">
        <v>18138.26176470588</v>
      </c>
      <c r="I23" s="43">
        <v>952332.797484585</v>
      </c>
      <c r="J23" s="40"/>
      <c r="K23" s="40"/>
      <c r="L23" s="43">
        <f t="shared" ref="L23:L39" si="6">SUM(B23:J23)</f>
        <v>3067266.438</v>
      </c>
      <c r="M23" s="44">
        <f t="shared" ref="M23:M39" si="7">L23/SUM(L$23:L$39)</f>
        <v>0.05759141088</v>
      </c>
    </row>
    <row r="24" ht="15.0" customHeight="1">
      <c r="A24" s="40" t="s">
        <v>18</v>
      </c>
      <c r="B24" s="43">
        <v>468479.51217909186</v>
      </c>
      <c r="C24" s="40">
        <v>320562.0627314035</v>
      </c>
      <c r="D24" s="43">
        <v>825797.2675191094</v>
      </c>
      <c r="E24" s="43">
        <v>112738.71742204962</v>
      </c>
      <c r="F24" s="43"/>
      <c r="G24" s="43">
        <v>491119.39003300597</v>
      </c>
      <c r="H24" s="43">
        <v>18138.26176470588</v>
      </c>
      <c r="I24" s="43">
        <v>952332.797484585</v>
      </c>
      <c r="J24" s="40"/>
      <c r="K24" s="40"/>
      <c r="L24" s="43">
        <f t="shared" si="6"/>
        <v>3189168.009</v>
      </c>
      <c r="M24" s="44">
        <f t="shared" si="7"/>
        <v>0.05988025132</v>
      </c>
    </row>
    <row r="25" ht="15.0" customHeight="1">
      <c r="A25" s="40" t="s">
        <v>20</v>
      </c>
      <c r="B25" s="43">
        <v>468445.89474397106</v>
      </c>
      <c r="C25" s="40">
        <v>320540.7601662732</v>
      </c>
      <c r="D25" s="43">
        <v>825744.2858915809</v>
      </c>
      <c r="E25" s="43">
        <v>112685.73579452104</v>
      </c>
      <c r="F25" s="43"/>
      <c r="G25" s="43">
        <v>507544.33479358815</v>
      </c>
      <c r="H25" s="43">
        <v>18138.26176470588</v>
      </c>
      <c r="I25" s="43">
        <v>952332.797484585</v>
      </c>
      <c r="J25" s="40"/>
      <c r="K25" s="40"/>
      <c r="L25" s="43">
        <f t="shared" si="6"/>
        <v>3205432.071</v>
      </c>
      <c r="M25" s="44">
        <f t="shared" si="7"/>
        <v>0.06018562754</v>
      </c>
    </row>
    <row r="26" ht="15.0" customHeight="1">
      <c r="A26" s="40" t="s">
        <v>22</v>
      </c>
      <c r="B26" s="43">
        <v>215000.55830591777</v>
      </c>
      <c r="C26" s="40">
        <v>87494.22870127979</v>
      </c>
      <c r="D26" s="43">
        <v>830734.2586868284</v>
      </c>
      <c r="E26" s="43">
        <v>113413.82921478341</v>
      </c>
      <c r="F26" s="43"/>
      <c r="G26" s="43">
        <v>479660.7219297751</v>
      </c>
      <c r="H26" s="43">
        <v>18138.26176470588</v>
      </c>
      <c r="I26" s="43">
        <v>944926.4238656114</v>
      </c>
      <c r="J26" s="40"/>
      <c r="K26" s="40"/>
      <c r="L26" s="43">
        <f t="shared" si="6"/>
        <v>2689368.282</v>
      </c>
      <c r="M26" s="44">
        <f t="shared" si="7"/>
        <v>0.05049594382</v>
      </c>
    </row>
    <row r="27" ht="15.0" customHeight="1">
      <c r="A27" s="40" t="s">
        <v>23</v>
      </c>
      <c r="B27" s="43">
        <v>468445.89474395546</v>
      </c>
      <c r="C27" s="40">
        <v>320540.7601662633</v>
      </c>
      <c r="D27" s="43">
        <v>825744.2858915562</v>
      </c>
      <c r="E27" s="43">
        <v>112685.73579449645</v>
      </c>
      <c r="F27" s="43"/>
      <c r="G27" s="43">
        <v>507544.33479358815</v>
      </c>
      <c r="H27" s="43">
        <v>18138.26176470588</v>
      </c>
      <c r="I27" s="43">
        <v>952332.797484585</v>
      </c>
      <c r="J27" s="40"/>
      <c r="K27" s="40"/>
      <c r="L27" s="43">
        <f t="shared" si="6"/>
        <v>3205432.071</v>
      </c>
      <c r="M27" s="44">
        <f t="shared" si="7"/>
        <v>0.06018562754</v>
      </c>
    </row>
    <row r="28" ht="15.0" customHeight="1">
      <c r="A28" s="40" t="s">
        <v>24</v>
      </c>
      <c r="B28" s="43">
        <v>468445.8947439634</v>
      </c>
      <c r="C28" s="40">
        <v>320540.76016626833</v>
      </c>
      <c r="D28" s="43">
        <v>825744.2858915688</v>
      </c>
      <c r="E28" s="43">
        <v>112685.73579450892</v>
      </c>
      <c r="F28" s="43"/>
      <c r="G28" s="43">
        <v>507544.33479358815</v>
      </c>
      <c r="H28" s="43">
        <v>18138.26176470588</v>
      </c>
      <c r="I28" s="43">
        <v>952332.797484585</v>
      </c>
      <c r="J28" s="40"/>
      <c r="K28" s="40"/>
      <c r="L28" s="43">
        <f t="shared" si="6"/>
        <v>3205432.071</v>
      </c>
      <c r="M28" s="44">
        <f t="shared" si="7"/>
        <v>0.06018562754</v>
      </c>
    </row>
    <row r="29" ht="15.0" customHeight="1">
      <c r="A29" s="40" t="s">
        <v>25</v>
      </c>
      <c r="B29" s="43">
        <v>468445.89474396984</v>
      </c>
      <c r="C29" s="40">
        <v>320540.7601662724</v>
      </c>
      <c r="D29" s="43">
        <v>825744.285891579</v>
      </c>
      <c r="E29" s="43">
        <v>112685.73579451912</v>
      </c>
      <c r="F29" s="43"/>
      <c r="G29" s="43">
        <v>507544.33479358815</v>
      </c>
      <c r="H29" s="43">
        <v>18138.26176470588</v>
      </c>
      <c r="I29" s="43">
        <v>952332.797484585</v>
      </c>
      <c r="J29" s="40"/>
      <c r="K29" s="40"/>
      <c r="L29" s="43">
        <f t="shared" si="6"/>
        <v>3205432.071</v>
      </c>
      <c r="M29" s="44">
        <f t="shared" si="7"/>
        <v>0.06018562754</v>
      </c>
    </row>
    <row r="30" ht="15.0" customHeight="1">
      <c r="A30" s="40" t="s">
        <v>26</v>
      </c>
      <c r="B30" s="43">
        <v>468445.8947439701</v>
      </c>
      <c r="C30" s="40">
        <v>320540.7601662726</v>
      </c>
      <c r="D30" s="43">
        <v>825744.2858915792</v>
      </c>
      <c r="E30" s="43">
        <v>112685.73579451942</v>
      </c>
      <c r="F30" s="43"/>
      <c r="G30" s="43">
        <v>507544.33479358815</v>
      </c>
      <c r="H30" s="43">
        <v>18138.26176470588</v>
      </c>
      <c r="I30" s="43">
        <v>952332.797484585</v>
      </c>
      <c r="J30" s="40"/>
      <c r="K30" s="40"/>
      <c r="L30" s="43">
        <f t="shared" si="6"/>
        <v>3205432.071</v>
      </c>
      <c r="M30" s="44">
        <f t="shared" si="7"/>
        <v>0.06018562754</v>
      </c>
    </row>
    <row r="31" ht="15.0" customHeight="1">
      <c r="A31" s="40" t="s">
        <v>27</v>
      </c>
      <c r="B31" s="43">
        <v>468445.89474397025</v>
      </c>
      <c r="C31" s="40">
        <v>320540.7601662727</v>
      </c>
      <c r="D31" s="43">
        <v>825744.2858915795</v>
      </c>
      <c r="E31" s="43">
        <v>112685.73579451974</v>
      </c>
      <c r="F31" s="43"/>
      <c r="G31" s="43">
        <v>507544.33479358815</v>
      </c>
      <c r="H31" s="43">
        <v>18138.26176470588</v>
      </c>
      <c r="I31" s="43">
        <v>952332.797484585</v>
      </c>
      <c r="J31" s="40"/>
      <c r="K31" s="40"/>
      <c r="L31" s="43">
        <f t="shared" si="6"/>
        <v>3205432.071</v>
      </c>
      <c r="M31" s="44">
        <f t="shared" si="7"/>
        <v>0.06018562754</v>
      </c>
    </row>
    <row r="32" ht="15.0" customHeight="1">
      <c r="A32" s="40" t="s">
        <v>28</v>
      </c>
      <c r="B32" s="43">
        <v>468445.89474396216</v>
      </c>
      <c r="C32" s="40">
        <v>320540.7601662676</v>
      </c>
      <c r="D32" s="43">
        <v>825744.2858915668</v>
      </c>
      <c r="E32" s="43">
        <v>112685.73579450698</v>
      </c>
      <c r="F32" s="43"/>
      <c r="G32" s="43">
        <v>507544.33479358815</v>
      </c>
      <c r="H32" s="43">
        <v>18138.26176470588</v>
      </c>
      <c r="I32" s="43">
        <v>952332.797484585</v>
      </c>
      <c r="J32" s="40"/>
      <c r="K32" s="40"/>
      <c r="L32" s="43">
        <f t="shared" si="6"/>
        <v>3205432.071</v>
      </c>
      <c r="M32" s="44">
        <f t="shared" si="7"/>
        <v>0.06018562754</v>
      </c>
    </row>
    <row r="33" ht="15.0" customHeight="1">
      <c r="A33" s="40" t="s">
        <v>29</v>
      </c>
      <c r="B33" s="43">
        <v>468445.8947439751</v>
      </c>
      <c r="C33" s="40">
        <v>320540.7601662757</v>
      </c>
      <c r="D33" s="43">
        <v>825744.2858915871</v>
      </c>
      <c r="E33" s="43">
        <v>112685.73579452731</v>
      </c>
      <c r="F33" s="43"/>
      <c r="G33" s="43">
        <v>507544.3347935881</v>
      </c>
      <c r="H33" s="43">
        <v>18138.26176470588</v>
      </c>
      <c r="I33" s="43">
        <v>952332.797484585</v>
      </c>
      <c r="J33" s="40"/>
      <c r="K33" s="40"/>
      <c r="L33" s="43">
        <f t="shared" si="6"/>
        <v>3205432.071</v>
      </c>
      <c r="M33" s="44">
        <f t="shared" si="7"/>
        <v>0.06018562754</v>
      </c>
    </row>
    <row r="34" ht="15.0" customHeight="1">
      <c r="A34" s="40" t="s">
        <v>30</v>
      </c>
      <c r="B34" s="43">
        <v>468445.8947439709</v>
      </c>
      <c r="C34" s="40">
        <v>320540.76016627304</v>
      </c>
      <c r="D34" s="43">
        <v>825744.2858915804</v>
      </c>
      <c r="E34" s="43">
        <v>112685.73579452067</v>
      </c>
      <c r="F34" s="43"/>
      <c r="G34" s="43">
        <v>507544.33479358815</v>
      </c>
      <c r="H34" s="43">
        <v>18138.26176470588</v>
      </c>
      <c r="I34" s="43">
        <v>952332.797484585</v>
      </c>
      <c r="J34" s="40"/>
      <c r="K34" s="40"/>
      <c r="L34" s="43">
        <f t="shared" si="6"/>
        <v>3205432.071</v>
      </c>
      <c r="M34" s="44">
        <f t="shared" si="7"/>
        <v>0.06018562754</v>
      </c>
    </row>
    <row r="35" ht="15.0" customHeight="1">
      <c r="A35" s="40" t="s">
        <v>31</v>
      </c>
      <c r="B35" s="43">
        <v>468445.89474397106</v>
      </c>
      <c r="C35" s="40">
        <v>320540.76016627316</v>
      </c>
      <c r="D35" s="43">
        <v>825744.2858915809</v>
      </c>
      <c r="E35" s="43">
        <v>112685.735794521</v>
      </c>
      <c r="F35" s="43"/>
      <c r="G35" s="43">
        <v>507544.33479358815</v>
      </c>
      <c r="H35" s="43">
        <v>18138.26176470588</v>
      </c>
      <c r="I35" s="43">
        <v>952332.797484585</v>
      </c>
      <c r="J35" s="40"/>
      <c r="K35" s="40"/>
      <c r="L35" s="43">
        <f t="shared" si="6"/>
        <v>3205432.071</v>
      </c>
      <c r="M35" s="44">
        <f t="shared" si="7"/>
        <v>0.06018562754</v>
      </c>
    </row>
    <row r="36" ht="15.0" customHeight="1">
      <c r="A36" s="40" t="s">
        <v>32</v>
      </c>
      <c r="B36" s="43">
        <v>468445.8947439757</v>
      </c>
      <c r="C36" s="40">
        <v>320540.76016627613</v>
      </c>
      <c r="D36" s="43">
        <v>825744.2858915881</v>
      </c>
      <c r="E36" s="43">
        <v>112685.73579452826</v>
      </c>
      <c r="F36" s="43"/>
      <c r="G36" s="43">
        <v>507544.3347935881</v>
      </c>
      <c r="H36" s="43">
        <v>18138.26176470588</v>
      </c>
      <c r="I36" s="43">
        <v>952332.797484585</v>
      </c>
      <c r="J36" s="40"/>
      <c r="K36" s="40"/>
      <c r="L36" s="43">
        <f t="shared" si="6"/>
        <v>3205432.071</v>
      </c>
      <c r="M36" s="44">
        <f t="shared" si="7"/>
        <v>0.06018562754</v>
      </c>
    </row>
    <row r="37" ht="15.0" customHeight="1">
      <c r="A37" s="40" t="s">
        <v>34</v>
      </c>
      <c r="B37" s="43">
        <v>445899.52875689394</v>
      </c>
      <c r="C37" s="40">
        <v>320582.2062702078</v>
      </c>
      <c r="D37" s="43">
        <v>825847.3665312943</v>
      </c>
      <c r="E37" s="43">
        <v>112788.81643423456</v>
      </c>
      <c r="F37" s="43"/>
      <c r="G37" s="43">
        <v>483150.4242921893</v>
      </c>
      <c r="H37" s="43">
        <v>18138.26176470588</v>
      </c>
      <c r="I37" s="43">
        <v>952332.797484585</v>
      </c>
      <c r="J37" s="40"/>
      <c r="K37" s="40"/>
      <c r="L37" s="43">
        <f t="shared" si="6"/>
        <v>3158739.402</v>
      </c>
      <c r="M37" s="44">
        <f t="shared" si="7"/>
        <v>0.05930891965</v>
      </c>
    </row>
    <row r="38" ht="15.0" customHeight="1">
      <c r="A38" s="40" t="s">
        <v>35</v>
      </c>
      <c r="B38" s="43">
        <v>468445.89474395855</v>
      </c>
      <c r="C38" s="40">
        <v>320540.76016626525</v>
      </c>
      <c r="D38" s="43">
        <v>825744.2858915611</v>
      </c>
      <c r="E38" s="43">
        <v>112685.73579450123</v>
      </c>
      <c r="F38" s="43"/>
      <c r="G38" s="43">
        <v>507544.33479358815</v>
      </c>
      <c r="H38" s="43">
        <v>18138.26176470588</v>
      </c>
      <c r="I38" s="43">
        <v>952332.797484585</v>
      </c>
      <c r="J38" s="40"/>
      <c r="K38" s="40"/>
      <c r="L38" s="43">
        <f t="shared" si="6"/>
        <v>3205432.071</v>
      </c>
      <c r="M38" s="44">
        <f t="shared" si="7"/>
        <v>0.06018562754</v>
      </c>
    </row>
    <row r="39" ht="15.0" customHeight="1">
      <c r="A39" s="40" t="s">
        <v>36</v>
      </c>
      <c r="B39" s="43">
        <v>215000.55830591777</v>
      </c>
      <c r="C39" s="40">
        <v>87494.22870127979</v>
      </c>
      <c r="D39" s="43">
        <v>830734.2586868284</v>
      </c>
      <c r="E39" s="43">
        <v>113413.82921478341</v>
      </c>
      <c r="F39" s="43"/>
      <c r="G39" s="43">
        <v>479660.7219297751</v>
      </c>
      <c r="H39" s="43">
        <v>18138.26176470588</v>
      </c>
      <c r="I39" s="43">
        <v>944926.4238656114</v>
      </c>
      <c r="J39" s="40"/>
      <c r="K39" s="40"/>
      <c r="L39" s="43">
        <f t="shared" si="6"/>
        <v>2689368.282</v>
      </c>
      <c r="M39" s="44">
        <f t="shared" si="7"/>
        <v>0.05049594382</v>
      </c>
    </row>
    <row r="40" ht="15.0" customHeight="1">
      <c r="A40" s="42" t="s">
        <v>38</v>
      </c>
      <c r="B40" s="43">
        <f t="shared" ref="B40:E40" si="8">SUM(B23:B39)</f>
        <v>7320158.118</v>
      </c>
      <c r="C40" s="43">
        <f t="shared" si="8"/>
        <v>4983203.945</v>
      </c>
      <c r="D40" s="43">
        <f t="shared" si="8"/>
        <v>14047891.67</v>
      </c>
      <c r="E40" s="43">
        <f t="shared" si="8"/>
        <v>1917372.565</v>
      </c>
      <c r="F40" s="43"/>
      <c r="G40" s="43">
        <f t="shared" ref="G40:J40" si="9">SUM(G23:G39)</f>
        <v>8507273.7</v>
      </c>
      <c r="H40" s="43">
        <f t="shared" si="9"/>
        <v>308350.45</v>
      </c>
      <c r="I40" s="43">
        <f t="shared" si="9"/>
        <v>16174844.81</v>
      </c>
      <c r="J40" s="43">
        <f t="shared" si="9"/>
        <v>0</v>
      </c>
      <c r="K40" s="43"/>
      <c r="L40" s="43">
        <f t="shared" ref="L40:M40" si="10">SUM(L23:L39)</f>
        <v>53259095.26</v>
      </c>
      <c r="M40" s="44">
        <f t="shared" si="10"/>
        <v>1</v>
      </c>
    </row>
    <row r="43" ht="15.0" customHeight="1">
      <c r="A43" s="42" t="s">
        <v>3</v>
      </c>
      <c r="B43" s="40" t="s">
        <v>127</v>
      </c>
      <c r="C43" s="40" t="s">
        <v>129</v>
      </c>
      <c r="D43" s="40" t="s">
        <v>131</v>
      </c>
      <c r="E43" s="40" t="s">
        <v>132</v>
      </c>
      <c r="F43" s="40" t="s">
        <v>134</v>
      </c>
      <c r="G43" s="40" t="s">
        <v>136</v>
      </c>
      <c r="H43" s="40" t="s">
        <v>55</v>
      </c>
      <c r="I43" s="40" t="s">
        <v>14</v>
      </c>
      <c r="J43" s="41" t="s">
        <v>119</v>
      </c>
      <c r="K43" s="41" t="s">
        <v>120</v>
      </c>
      <c r="L43" s="40" t="s">
        <v>121</v>
      </c>
      <c r="M43" s="42" t="s">
        <v>4</v>
      </c>
    </row>
    <row r="44" ht="15.0" customHeight="1">
      <c r="A44" s="40" t="s">
        <v>5</v>
      </c>
      <c r="B44" s="43">
        <v>401264.2566113165</v>
      </c>
      <c r="C44" s="40">
        <v>163866.94805250253</v>
      </c>
      <c r="D44" s="43">
        <v>0.0</v>
      </c>
      <c r="E44" s="43">
        <v>841924.5678399696</v>
      </c>
      <c r="F44" s="43">
        <v>161803.0008780626</v>
      </c>
      <c r="G44" s="43">
        <v>229877.02807321164</v>
      </c>
      <c r="H44" s="43">
        <v>1243174.3594114508</v>
      </c>
      <c r="I44" s="43">
        <v>998033.1743675831</v>
      </c>
      <c r="J44" s="43"/>
      <c r="K44" s="40"/>
      <c r="L44" s="40"/>
      <c r="M44" s="43">
        <f t="shared" ref="M44:M60" si="11">SUM(B44:K44)</f>
        <v>4039943.335</v>
      </c>
      <c r="N44" s="44">
        <f t="shared" ref="N44:N60" si="12">M44/SUM(M$44:M$60)</f>
        <v>0.05987220621</v>
      </c>
    </row>
    <row r="45" ht="15.0" customHeight="1">
      <c r="A45" s="40" t="s">
        <v>18</v>
      </c>
      <c r="B45" s="43">
        <v>401213.8345721094</v>
      </c>
      <c r="C45" s="40">
        <v>166762.77308792574</v>
      </c>
      <c r="D45" s="43">
        <v>13514.669230769232</v>
      </c>
      <c r="E45" s="43">
        <v>841260.2978186561</v>
      </c>
      <c r="F45" s="43">
        <v>161803.0008780626</v>
      </c>
      <c r="G45" s="43">
        <v>228136.5054097624</v>
      </c>
      <c r="H45" s="43">
        <v>1243174.3594114508</v>
      </c>
      <c r="I45" s="43">
        <v>1002460.7014349033</v>
      </c>
      <c r="J45" s="43"/>
      <c r="K45" s="40"/>
      <c r="L45" s="40"/>
      <c r="M45" s="43">
        <f t="shared" si="11"/>
        <v>4058326.142</v>
      </c>
      <c r="N45" s="44">
        <f t="shared" si="12"/>
        <v>0.06014464052</v>
      </c>
    </row>
    <row r="46" ht="15.0" customHeight="1">
      <c r="A46" s="40" t="s">
        <v>20</v>
      </c>
      <c r="B46" s="43">
        <v>401160.21835791116</v>
      </c>
      <c r="C46" s="40">
        <v>166585.9568746073</v>
      </c>
      <c r="D46" s="43">
        <v>13514.669230769232</v>
      </c>
      <c r="E46" s="43">
        <v>841171.671163398</v>
      </c>
      <c r="F46" s="43">
        <v>161803.0008780626</v>
      </c>
      <c r="G46" s="43">
        <v>228136.5054097624</v>
      </c>
      <c r="H46" s="43">
        <v>1243174.3594114508</v>
      </c>
      <c r="I46" s="43">
        <v>1002460.7014349033</v>
      </c>
      <c r="J46" s="43"/>
      <c r="K46" s="40"/>
      <c r="L46" s="40"/>
      <c r="M46" s="43">
        <f t="shared" si="11"/>
        <v>4058007.083</v>
      </c>
      <c r="N46" s="44">
        <f t="shared" si="12"/>
        <v>0.06013991205</v>
      </c>
    </row>
    <row r="47" ht="15.0" customHeight="1">
      <c r="A47" s="40" t="s">
        <v>22</v>
      </c>
      <c r="B47" s="43">
        <v>388762.8904386083</v>
      </c>
      <c r="C47" s="40">
        <v>167538.13511054957</v>
      </c>
      <c r="D47" s="43">
        <v>0.0</v>
      </c>
      <c r="E47" s="43">
        <v>754825.738049702</v>
      </c>
      <c r="F47" s="43">
        <v>148328.90931453052</v>
      </c>
      <c r="G47" s="43">
        <v>131909.0598950567</v>
      </c>
      <c r="H47" s="43">
        <v>730456.0494141207</v>
      </c>
      <c r="I47" s="43">
        <v>996375.6077718993</v>
      </c>
      <c r="J47" s="43"/>
      <c r="K47" s="40"/>
      <c r="L47" s="40"/>
      <c r="M47" s="43">
        <f t="shared" si="11"/>
        <v>3318196.39</v>
      </c>
      <c r="N47" s="44">
        <f t="shared" si="12"/>
        <v>0.04917587254</v>
      </c>
    </row>
    <row r="48" ht="15.0" customHeight="1">
      <c r="A48" s="40" t="s">
        <v>23</v>
      </c>
      <c r="B48" s="43">
        <v>401160.2183578863</v>
      </c>
      <c r="C48" s="40">
        <v>166585.95687460812</v>
      </c>
      <c r="D48" s="43">
        <v>13514.669230769232</v>
      </c>
      <c r="E48" s="43">
        <v>841171.6711633984</v>
      </c>
      <c r="F48" s="43">
        <v>161803.0008780626</v>
      </c>
      <c r="G48" s="43">
        <v>228136.5054097624</v>
      </c>
      <c r="H48" s="43">
        <v>1243174.3594114508</v>
      </c>
      <c r="I48" s="43">
        <v>1002460.7014349033</v>
      </c>
      <c r="J48" s="43"/>
      <c r="K48" s="40"/>
      <c r="L48" s="40"/>
      <c r="M48" s="43">
        <f t="shared" si="11"/>
        <v>4058007.083</v>
      </c>
      <c r="N48" s="44">
        <f t="shared" si="12"/>
        <v>0.06013991205</v>
      </c>
    </row>
    <row r="49" ht="15.0" customHeight="1">
      <c r="A49" s="40" t="s">
        <v>24</v>
      </c>
      <c r="B49" s="43">
        <v>401160.21835789894</v>
      </c>
      <c r="C49" s="40">
        <v>166585.9568746077</v>
      </c>
      <c r="D49" s="43">
        <v>13514.669230769232</v>
      </c>
      <c r="E49" s="43">
        <v>841171.6711633982</v>
      </c>
      <c r="F49" s="43">
        <v>161803.0008780626</v>
      </c>
      <c r="G49" s="43">
        <v>228136.5054097624</v>
      </c>
      <c r="H49" s="43">
        <v>1243174.3594114508</v>
      </c>
      <c r="I49" s="43">
        <v>1002460.7014349033</v>
      </c>
      <c r="J49" s="43"/>
      <c r="K49" s="40"/>
      <c r="L49" s="40"/>
      <c r="M49" s="43">
        <f t="shared" si="11"/>
        <v>4058007.083</v>
      </c>
      <c r="N49" s="44">
        <f t="shared" si="12"/>
        <v>0.06013991205</v>
      </c>
    </row>
    <row r="50" ht="15.0" customHeight="1">
      <c r="A50" s="40" t="s">
        <v>25</v>
      </c>
      <c r="B50" s="43">
        <v>401160.21835790924</v>
      </c>
      <c r="C50" s="40">
        <v>166585.9568746074</v>
      </c>
      <c r="D50" s="43">
        <v>13514.669230769232</v>
      </c>
      <c r="E50" s="43">
        <v>841171.6711633981</v>
      </c>
      <c r="F50" s="43">
        <v>161803.0008780626</v>
      </c>
      <c r="G50" s="43">
        <v>228136.5054097624</v>
      </c>
      <c r="H50" s="43">
        <v>1243174.3594114508</v>
      </c>
      <c r="I50" s="43">
        <v>1002460.7014349033</v>
      </c>
      <c r="J50" s="43"/>
      <c r="K50" s="40"/>
      <c r="L50" s="40"/>
      <c r="M50" s="43">
        <f t="shared" si="11"/>
        <v>4058007.083</v>
      </c>
      <c r="N50" s="44">
        <f t="shared" si="12"/>
        <v>0.06013991205</v>
      </c>
    </row>
    <row r="51" ht="15.0" customHeight="1">
      <c r="A51" s="40" t="s">
        <v>26</v>
      </c>
      <c r="B51" s="43">
        <v>401160.2183579095</v>
      </c>
      <c r="C51" s="40">
        <v>166585.95687460736</v>
      </c>
      <c r="D51" s="43">
        <v>13514.669230769232</v>
      </c>
      <c r="E51" s="43">
        <v>841171.671163398</v>
      </c>
      <c r="F51" s="43">
        <v>161803.0008780626</v>
      </c>
      <c r="G51" s="43">
        <v>228136.5054097624</v>
      </c>
      <c r="H51" s="43">
        <v>1243174.3594114508</v>
      </c>
      <c r="I51" s="43">
        <v>1002460.7014349033</v>
      </c>
      <c r="J51" s="43"/>
      <c r="K51" s="40"/>
      <c r="L51" s="40"/>
      <c r="M51" s="43">
        <f t="shared" si="11"/>
        <v>4058007.083</v>
      </c>
      <c r="N51" s="44">
        <f t="shared" si="12"/>
        <v>0.06013991205</v>
      </c>
    </row>
    <row r="52" ht="15.0" customHeight="1">
      <c r="A52" s="40" t="s">
        <v>27</v>
      </c>
      <c r="B52" s="43">
        <v>401160.2183579099</v>
      </c>
      <c r="C52" s="40">
        <v>166585.95687460736</v>
      </c>
      <c r="D52" s="43">
        <v>13514.669230769232</v>
      </c>
      <c r="E52" s="43">
        <v>841171.671163398</v>
      </c>
      <c r="F52" s="43">
        <v>161803.0008780626</v>
      </c>
      <c r="G52" s="43">
        <v>228136.5054097624</v>
      </c>
      <c r="H52" s="43">
        <v>1243174.3594114508</v>
      </c>
      <c r="I52" s="43">
        <v>1002460.7014349033</v>
      </c>
      <c r="J52" s="43"/>
      <c r="K52" s="40"/>
      <c r="L52" s="40"/>
      <c r="M52" s="43">
        <f t="shared" si="11"/>
        <v>4058007.083</v>
      </c>
      <c r="N52" s="44">
        <f t="shared" si="12"/>
        <v>0.06013991205</v>
      </c>
    </row>
    <row r="53" ht="15.0" customHeight="1">
      <c r="A53" s="40" t="s">
        <v>28</v>
      </c>
      <c r="B53" s="43">
        <v>401160.2183578969</v>
      </c>
      <c r="C53" s="40">
        <v>166585.95687460777</v>
      </c>
      <c r="D53" s="43">
        <v>13514.669230769232</v>
      </c>
      <c r="E53" s="43">
        <v>841171.6711633982</v>
      </c>
      <c r="F53" s="43">
        <v>161803.0008780626</v>
      </c>
      <c r="G53" s="43">
        <v>228136.5054097624</v>
      </c>
      <c r="H53" s="43">
        <v>1243174.3594114508</v>
      </c>
      <c r="I53" s="43">
        <v>1002460.7014349033</v>
      </c>
      <c r="J53" s="43"/>
      <c r="K53" s="40"/>
      <c r="L53" s="40"/>
      <c r="M53" s="43">
        <f t="shared" si="11"/>
        <v>4058007.083</v>
      </c>
      <c r="N53" s="44">
        <f t="shared" si="12"/>
        <v>0.06013991205</v>
      </c>
    </row>
    <row r="54" ht="15.0" customHeight="1">
      <c r="A54" s="40" t="s">
        <v>29</v>
      </c>
      <c r="B54" s="43">
        <v>401160.2183579175</v>
      </c>
      <c r="C54" s="40">
        <v>166585.95687460713</v>
      </c>
      <c r="D54" s="43">
        <v>13514.669230769232</v>
      </c>
      <c r="E54" s="43">
        <v>841171.671163398</v>
      </c>
      <c r="F54" s="43">
        <v>161803.0008780626</v>
      </c>
      <c r="G54" s="43">
        <v>228136.5054097624</v>
      </c>
      <c r="H54" s="43">
        <v>1243174.3594114508</v>
      </c>
      <c r="I54" s="43">
        <v>1002460.7014349033</v>
      </c>
      <c r="J54" s="43"/>
      <c r="K54" s="40"/>
      <c r="L54" s="40"/>
      <c r="M54" s="43">
        <f t="shared" si="11"/>
        <v>4058007.083</v>
      </c>
      <c r="N54" s="44">
        <f t="shared" si="12"/>
        <v>0.06013991205</v>
      </c>
    </row>
    <row r="55" ht="15.0" customHeight="1">
      <c r="A55" s="40" t="s">
        <v>30</v>
      </c>
      <c r="B55" s="43">
        <v>401160.2183579108</v>
      </c>
      <c r="C55" s="40">
        <v>166585.9568746073</v>
      </c>
      <c r="D55" s="43">
        <v>13514.669230769232</v>
      </c>
      <c r="E55" s="43">
        <v>841171.671163398</v>
      </c>
      <c r="F55" s="43">
        <v>161803.0008780626</v>
      </c>
      <c r="G55" s="43">
        <v>228136.5054097624</v>
      </c>
      <c r="H55" s="43">
        <v>1243174.3594114508</v>
      </c>
      <c r="I55" s="43">
        <v>1002460.7014349033</v>
      </c>
      <c r="J55" s="43"/>
      <c r="K55" s="40"/>
      <c r="L55" s="40"/>
      <c r="M55" s="43">
        <f t="shared" si="11"/>
        <v>4058007.083</v>
      </c>
      <c r="N55" s="44">
        <f t="shared" si="12"/>
        <v>0.06013991205</v>
      </c>
    </row>
    <row r="56" ht="15.0" customHeight="1">
      <c r="A56" s="40" t="s">
        <v>31</v>
      </c>
      <c r="B56" s="43">
        <v>401160.2183579111</v>
      </c>
      <c r="C56" s="40">
        <v>166585.9568746073</v>
      </c>
      <c r="D56" s="43">
        <v>13514.669230769232</v>
      </c>
      <c r="E56" s="43">
        <v>841171.671163398</v>
      </c>
      <c r="F56" s="43">
        <v>161803.0008780626</v>
      </c>
      <c r="G56" s="43">
        <v>228136.5054097624</v>
      </c>
      <c r="H56" s="43">
        <v>1243174.3594114508</v>
      </c>
      <c r="I56" s="43">
        <v>1002460.7014349033</v>
      </c>
      <c r="J56" s="43"/>
      <c r="K56" s="40"/>
      <c r="L56" s="40"/>
      <c r="M56" s="43">
        <f t="shared" si="11"/>
        <v>4058007.083</v>
      </c>
      <c r="N56" s="44">
        <f t="shared" si="12"/>
        <v>0.06013991205</v>
      </c>
    </row>
    <row r="57" ht="15.0" customHeight="1">
      <c r="A57" s="40" t="s">
        <v>32</v>
      </c>
      <c r="B57" s="43">
        <v>401160.2183579185</v>
      </c>
      <c r="C57" s="40">
        <v>166585.9568746071</v>
      </c>
      <c r="D57" s="43">
        <v>13514.669230769232</v>
      </c>
      <c r="E57" s="43">
        <v>841171.671163398</v>
      </c>
      <c r="F57" s="43">
        <v>161803.0008780626</v>
      </c>
      <c r="G57" s="43">
        <v>228136.5054097624</v>
      </c>
      <c r="H57" s="43">
        <v>1243174.3594114508</v>
      </c>
      <c r="I57" s="43">
        <v>1002460.7014349033</v>
      </c>
      <c r="J57" s="43"/>
      <c r="K57" s="40"/>
      <c r="L57" s="40"/>
      <c r="M57" s="43">
        <f t="shared" si="11"/>
        <v>4058007.083</v>
      </c>
      <c r="N57" s="44">
        <f t="shared" si="12"/>
        <v>0.06013991205</v>
      </c>
    </row>
    <row r="58" ht="15.0" customHeight="1">
      <c r="A58" s="40" t="s">
        <v>34</v>
      </c>
      <c r="B58" s="43">
        <v>401264.5336444809</v>
      </c>
      <c r="C58" s="40">
        <v>167093.58044318642</v>
      </c>
      <c r="D58" s="43">
        <v>0.0</v>
      </c>
      <c r="E58" s="43">
        <v>841426.1103812105</v>
      </c>
      <c r="F58" s="43">
        <v>161803.0008780626</v>
      </c>
      <c r="G58" s="43">
        <v>228136.5054097624</v>
      </c>
      <c r="H58" s="43">
        <v>1243174.3594114506</v>
      </c>
      <c r="I58" s="43">
        <v>1002460.7014349033</v>
      </c>
      <c r="J58" s="43"/>
      <c r="K58" s="40"/>
      <c r="L58" s="40"/>
      <c r="M58" s="43">
        <f t="shared" si="11"/>
        <v>4045358.792</v>
      </c>
      <c r="N58" s="44">
        <f t="shared" si="12"/>
        <v>0.0599524636</v>
      </c>
    </row>
    <row r="59" ht="15.0" customHeight="1">
      <c r="A59" s="40" t="s">
        <v>35</v>
      </c>
      <c r="B59" s="43">
        <v>401160.21835789114</v>
      </c>
      <c r="C59" s="40">
        <v>166585.95687460797</v>
      </c>
      <c r="D59" s="43">
        <v>13514.669230769232</v>
      </c>
      <c r="E59" s="43">
        <v>841171.6711633984</v>
      </c>
      <c r="F59" s="43">
        <v>161803.0008780626</v>
      </c>
      <c r="G59" s="43">
        <v>228136.5054097624</v>
      </c>
      <c r="H59" s="43">
        <v>1243174.3594114508</v>
      </c>
      <c r="I59" s="43">
        <v>1002460.7014349033</v>
      </c>
      <c r="J59" s="43"/>
      <c r="K59" s="40"/>
      <c r="L59" s="40"/>
      <c r="M59" s="43">
        <f t="shared" si="11"/>
        <v>4058007.083</v>
      </c>
      <c r="N59" s="44">
        <f t="shared" si="12"/>
        <v>0.06013991205</v>
      </c>
    </row>
    <row r="60" ht="15.0" customHeight="1">
      <c r="A60" s="40" t="s">
        <v>36</v>
      </c>
      <c r="B60" s="43">
        <v>388762.8904386083</v>
      </c>
      <c r="C60" s="40">
        <v>167538.13511054957</v>
      </c>
      <c r="D60" s="43">
        <v>0.0</v>
      </c>
      <c r="E60" s="43">
        <v>754825.738049702</v>
      </c>
      <c r="F60" s="43">
        <v>148328.90931453052</v>
      </c>
      <c r="G60" s="43">
        <v>131909.05989505674</v>
      </c>
      <c r="H60" s="43">
        <v>730456.0494141207</v>
      </c>
      <c r="I60" s="43">
        <v>996375.6077718993</v>
      </c>
      <c r="J60" s="43"/>
      <c r="K60" s="40"/>
      <c r="L60" s="40"/>
      <c r="M60" s="43">
        <f t="shared" si="11"/>
        <v>3318196.39</v>
      </c>
      <c r="N60" s="44">
        <f t="shared" si="12"/>
        <v>0.04917587254</v>
      </c>
    </row>
    <row r="61" ht="15.0" customHeight="1">
      <c r="A61" s="42" t="s">
        <v>38</v>
      </c>
      <c r="B61" s="43">
        <f t="shared" ref="B61:N61" si="13">SUM(B44:B60)</f>
        <v>6795191.026</v>
      </c>
      <c r="C61" s="43">
        <f t="shared" si="13"/>
        <v>2831831.054</v>
      </c>
      <c r="D61" s="43">
        <f t="shared" si="13"/>
        <v>175690.7</v>
      </c>
      <c r="E61" s="43">
        <f t="shared" si="13"/>
        <v>14128322.51</v>
      </c>
      <c r="F61" s="43">
        <f t="shared" si="13"/>
        <v>2723702.832</v>
      </c>
      <c r="G61" s="43">
        <f t="shared" si="13"/>
        <v>3687606.224</v>
      </c>
      <c r="H61" s="43">
        <f t="shared" si="13"/>
        <v>20108527.49</v>
      </c>
      <c r="I61" s="43">
        <f t="shared" si="13"/>
        <v>17025234.21</v>
      </c>
      <c r="J61" s="43">
        <f t="shared" si="13"/>
        <v>0</v>
      </c>
      <c r="K61" s="43">
        <f t="shared" si="13"/>
        <v>0</v>
      </c>
      <c r="L61" s="43">
        <f t="shared" si="13"/>
        <v>0</v>
      </c>
      <c r="M61" s="43">
        <f t="shared" si="13"/>
        <v>67476106.04</v>
      </c>
      <c r="N61" s="44">
        <f t="shared" si="13"/>
        <v>1</v>
      </c>
    </row>
    <row r="64" ht="15.0" customHeight="1">
      <c r="A64" s="42" t="s">
        <v>3</v>
      </c>
      <c r="B64" s="40" t="s">
        <v>150</v>
      </c>
      <c r="C64" s="40" t="s">
        <v>60</v>
      </c>
      <c r="D64" s="40" t="s">
        <v>151</v>
      </c>
      <c r="E64" s="40" t="s">
        <v>152</v>
      </c>
      <c r="F64" s="40" t="s">
        <v>154</v>
      </c>
      <c r="G64" s="40" t="s">
        <v>155</v>
      </c>
      <c r="H64" s="40" t="s">
        <v>156</v>
      </c>
      <c r="I64" s="40" t="s">
        <v>65</v>
      </c>
      <c r="J64" s="41" t="s">
        <v>157</v>
      </c>
      <c r="K64" s="41" t="s">
        <v>120</v>
      </c>
      <c r="L64" s="40" t="s">
        <v>121</v>
      </c>
      <c r="M64" s="42" t="s">
        <v>4</v>
      </c>
    </row>
    <row r="65" ht="15.0" customHeight="1">
      <c r="A65" s="40" t="s">
        <v>5</v>
      </c>
      <c r="B65" s="43"/>
      <c r="C65" s="40">
        <v>797798.2711453686</v>
      </c>
      <c r="D65" s="43"/>
      <c r="E65" s="43">
        <v>420628.6223230209</v>
      </c>
      <c r="F65" s="43">
        <v>300949.37514939095</v>
      </c>
      <c r="G65" s="43"/>
      <c r="H65" s="43">
        <v>1467469.05365699</v>
      </c>
      <c r="I65" s="43">
        <v>47024.534117647054</v>
      </c>
      <c r="J65" s="43">
        <v>594224.4729411768</v>
      </c>
      <c r="K65" s="40"/>
      <c r="L65" s="40"/>
      <c r="M65" s="43">
        <f t="shared" ref="M65:M81" si="14">SUM(B65:K65)</f>
        <v>3628094.329</v>
      </c>
      <c r="N65" s="44">
        <f t="shared" ref="N65:N81" si="15">M65/SUM(M$65:M$81)</f>
        <v>0.0588983267</v>
      </c>
    </row>
    <row r="66" ht="15.0" customHeight="1">
      <c r="A66" s="40" t="s">
        <v>18</v>
      </c>
      <c r="B66" s="43"/>
      <c r="C66" s="40">
        <v>797798.2711453686</v>
      </c>
      <c r="D66" s="43"/>
      <c r="E66" s="43">
        <v>420628.6223230209</v>
      </c>
      <c r="F66" s="43">
        <v>300949.3751493909</v>
      </c>
      <c r="G66" s="43"/>
      <c r="H66" s="43">
        <v>1467469.05365699</v>
      </c>
      <c r="I66" s="43">
        <v>47024.534117647054</v>
      </c>
      <c r="J66" s="43">
        <v>594224.4729411768</v>
      </c>
      <c r="K66" s="40"/>
      <c r="L66" s="40"/>
      <c r="M66" s="43">
        <f t="shared" si="14"/>
        <v>3628094.329</v>
      </c>
      <c r="N66" s="44">
        <f t="shared" si="15"/>
        <v>0.0588983267</v>
      </c>
    </row>
    <row r="67" ht="15.0" customHeight="1">
      <c r="A67" s="40" t="s">
        <v>20</v>
      </c>
      <c r="B67" s="43"/>
      <c r="C67" s="40">
        <v>797798.2711453686</v>
      </c>
      <c r="D67" s="43"/>
      <c r="E67" s="43">
        <v>420628.6223230209</v>
      </c>
      <c r="F67" s="43">
        <v>300949.3751493909</v>
      </c>
      <c r="G67" s="43"/>
      <c r="H67" s="43">
        <v>1467469.05365699</v>
      </c>
      <c r="I67" s="43">
        <v>47024.534117647054</v>
      </c>
      <c r="J67" s="43">
        <v>594224.4729411768</v>
      </c>
      <c r="K67" s="40"/>
      <c r="L67" s="40"/>
      <c r="M67" s="43">
        <f t="shared" si="14"/>
        <v>3628094.329</v>
      </c>
      <c r="N67" s="44">
        <f t="shared" si="15"/>
        <v>0.0588983267</v>
      </c>
    </row>
    <row r="68" ht="15.0" customHeight="1">
      <c r="A68" s="40" t="s">
        <v>22</v>
      </c>
      <c r="B68" s="43"/>
      <c r="C68" s="40">
        <v>784886.5517597472</v>
      </c>
      <c r="D68" s="43"/>
      <c r="E68" s="43">
        <v>417214.5596273425</v>
      </c>
      <c r="F68" s="43">
        <v>300193.16912956873</v>
      </c>
      <c r="G68" s="43"/>
      <c r="H68" s="43">
        <v>1445387.6425725634</v>
      </c>
      <c r="I68" s="43">
        <v>47024.534117647054</v>
      </c>
      <c r="J68" s="43">
        <v>594224.4729411768</v>
      </c>
      <c r="K68" s="40"/>
      <c r="L68" s="40"/>
      <c r="M68" s="43">
        <f t="shared" si="14"/>
        <v>3588930.93</v>
      </c>
      <c r="N68" s="44">
        <f t="shared" si="15"/>
        <v>0.05826254977</v>
      </c>
    </row>
    <row r="69" ht="15.0" customHeight="1">
      <c r="A69" s="40" t="s">
        <v>23</v>
      </c>
      <c r="B69" s="43"/>
      <c r="C69" s="40">
        <v>797798.2711453686</v>
      </c>
      <c r="D69" s="43"/>
      <c r="E69" s="43">
        <v>420628.6223230209</v>
      </c>
      <c r="F69" s="43">
        <v>300949.37514939095</v>
      </c>
      <c r="G69" s="43"/>
      <c r="H69" s="43">
        <v>1467469.05365699</v>
      </c>
      <c r="I69" s="43">
        <v>47024.534117647054</v>
      </c>
      <c r="J69" s="43">
        <v>594224.4729411768</v>
      </c>
      <c r="K69" s="40"/>
      <c r="L69" s="40"/>
      <c r="M69" s="43">
        <f t="shared" si="14"/>
        <v>3628094.329</v>
      </c>
      <c r="N69" s="44">
        <f t="shared" si="15"/>
        <v>0.0588983267</v>
      </c>
    </row>
    <row r="70" ht="15.0" customHeight="1">
      <c r="A70" s="40" t="s">
        <v>24</v>
      </c>
      <c r="B70" s="43"/>
      <c r="C70" s="40">
        <v>797798.2711453686</v>
      </c>
      <c r="D70" s="43"/>
      <c r="E70" s="43">
        <v>420628.6223230209</v>
      </c>
      <c r="F70" s="43">
        <v>300949.3751493909</v>
      </c>
      <c r="G70" s="43"/>
      <c r="H70" s="43">
        <v>1467469.05365699</v>
      </c>
      <c r="I70" s="43">
        <v>47024.534117647054</v>
      </c>
      <c r="J70" s="43">
        <v>594224.4729411768</v>
      </c>
      <c r="K70" s="40"/>
      <c r="L70" s="40"/>
      <c r="M70" s="43">
        <f t="shared" si="14"/>
        <v>3628094.329</v>
      </c>
      <c r="N70" s="44">
        <f t="shared" si="15"/>
        <v>0.0588983267</v>
      </c>
    </row>
    <row r="71" ht="15.0" customHeight="1">
      <c r="A71" s="40" t="s">
        <v>25</v>
      </c>
      <c r="B71" s="43"/>
      <c r="C71" s="40">
        <v>797798.2711453686</v>
      </c>
      <c r="D71" s="43"/>
      <c r="E71" s="43">
        <v>420628.6223230209</v>
      </c>
      <c r="F71" s="43">
        <v>300949.37514939095</v>
      </c>
      <c r="G71" s="43"/>
      <c r="H71" s="43">
        <v>1467469.05365699</v>
      </c>
      <c r="I71" s="43">
        <v>47024.534117647054</v>
      </c>
      <c r="J71" s="43">
        <v>594224.4729411768</v>
      </c>
      <c r="K71" s="40"/>
      <c r="L71" s="40"/>
      <c r="M71" s="43">
        <f t="shared" si="14"/>
        <v>3628094.329</v>
      </c>
      <c r="N71" s="44">
        <f t="shared" si="15"/>
        <v>0.0588983267</v>
      </c>
    </row>
    <row r="72" ht="15.0" customHeight="1">
      <c r="A72" s="40" t="s">
        <v>26</v>
      </c>
      <c r="B72" s="43"/>
      <c r="C72" s="40">
        <v>797798.2711453686</v>
      </c>
      <c r="D72" s="43"/>
      <c r="E72" s="43">
        <v>420628.6223230209</v>
      </c>
      <c r="F72" s="43">
        <v>300949.37514939095</v>
      </c>
      <c r="G72" s="43"/>
      <c r="H72" s="43">
        <v>1467469.05365699</v>
      </c>
      <c r="I72" s="43">
        <v>47024.534117647054</v>
      </c>
      <c r="J72" s="43">
        <v>594224.4729411768</v>
      </c>
      <c r="K72" s="40"/>
      <c r="L72" s="40"/>
      <c r="M72" s="43">
        <f t="shared" si="14"/>
        <v>3628094.329</v>
      </c>
      <c r="N72" s="44">
        <f t="shared" si="15"/>
        <v>0.0588983267</v>
      </c>
    </row>
    <row r="73" ht="15.0" customHeight="1">
      <c r="A73" s="40" t="s">
        <v>27</v>
      </c>
      <c r="B73" s="43"/>
      <c r="C73" s="40">
        <v>797798.2711453686</v>
      </c>
      <c r="D73" s="43"/>
      <c r="E73" s="43">
        <v>420628.6223230209</v>
      </c>
      <c r="F73" s="43">
        <v>300949.3751493909</v>
      </c>
      <c r="G73" s="43"/>
      <c r="H73" s="43">
        <v>1467469.05365699</v>
      </c>
      <c r="I73" s="43">
        <v>47024.534117647054</v>
      </c>
      <c r="J73" s="43">
        <v>594224.4729411768</v>
      </c>
      <c r="K73" s="40"/>
      <c r="L73" s="40"/>
      <c r="M73" s="43">
        <f t="shared" si="14"/>
        <v>3628094.329</v>
      </c>
      <c r="N73" s="44">
        <f t="shared" si="15"/>
        <v>0.0588983267</v>
      </c>
    </row>
    <row r="74" ht="15.0" customHeight="1">
      <c r="A74" s="40" t="s">
        <v>28</v>
      </c>
      <c r="B74" s="43"/>
      <c r="C74" s="40">
        <v>797798.2711453686</v>
      </c>
      <c r="D74" s="43"/>
      <c r="E74" s="43">
        <v>420628.6223230209</v>
      </c>
      <c r="F74" s="43">
        <v>300949.3751493909</v>
      </c>
      <c r="G74" s="43"/>
      <c r="H74" s="43">
        <v>1467469.05365699</v>
      </c>
      <c r="I74" s="43">
        <v>47024.534117647054</v>
      </c>
      <c r="J74" s="43">
        <v>594224.4729411768</v>
      </c>
      <c r="K74" s="40"/>
      <c r="L74" s="40"/>
      <c r="M74" s="43">
        <f t="shared" si="14"/>
        <v>3628094.329</v>
      </c>
      <c r="N74" s="44">
        <f t="shared" si="15"/>
        <v>0.0588983267</v>
      </c>
    </row>
    <row r="75" ht="15.0" customHeight="1">
      <c r="A75" s="40" t="s">
        <v>29</v>
      </c>
      <c r="B75" s="43"/>
      <c r="C75" s="40">
        <v>797798.2711453686</v>
      </c>
      <c r="D75" s="43"/>
      <c r="E75" s="43">
        <v>420628.6223230209</v>
      </c>
      <c r="F75" s="43">
        <v>300949.37514939095</v>
      </c>
      <c r="G75" s="43"/>
      <c r="H75" s="43">
        <v>1467469.05365699</v>
      </c>
      <c r="I75" s="43">
        <v>47024.534117647054</v>
      </c>
      <c r="J75" s="43">
        <v>594224.4729411768</v>
      </c>
      <c r="K75" s="40"/>
      <c r="L75" s="40"/>
      <c r="M75" s="43">
        <f t="shared" si="14"/>
        <v>3628094.329</v>
      </c>
      <c r="N75" s="44">
        <f t="shared" si="15"/>
        <v>0.0588983267</v>
      </c>
    </row>
    <row r="76" ht="15.0" customHeight="1">
      <c r="A76" s="40" t="s">
        <v>30</v>
      </c>
      <c r="B76" s="43"/>
      <c r="C76" s="40">
        <v>797798.2711453686</v>
      </c>
      <c r="D76" s="43"/>
      <c r="E76" s="43">
        <v>420628.6223230209</v>
      </c>
      <c r="F76" s="43">
        <v>300949.3751493909</v>
      </c>
      <c r="G76" s="43"/>
      <c r="H76" s="43">
        <v>1467469.05365699</v>
      </c>
      <c r="I76" s="43">
        <v>47024.534117647054</v>
      </c>
      <c r="J76" s="43">
        <v>594224.4729411768</v>
      </c>
      <c r="K76" s="40"/>
      <c r="L76" s="40"/>
      <c r="M76" s="43">
        <f t="shared" si="14"/>
        <v>3628094.329</v>
      </c>
      <c r="N76" s="44">
        <f t="shared" si="15"/>
        <v>0.0588983267</v>
      </c>
    </row>
    <row r="77" ht="15.0" customHeight="1">
      <c r="A77" s="40" t="s">
        <v>31</v>
      </c>
      <c r="B77" s="43"/>
      <c r="C77" s="40">
        <v>797798.2711453686</v>
      </c>
      <c r="D77" s="43"/>
      <c r="E77" s="43">
        <v>420628.6223230209</v>
      </c>
      <c r="F77" s="43">
        <v>300949.3751493909</v>
      </c>
      <c r="G77" s="43"/>
      <c r="H77" s="43">
        <v>1467469.05365699</v>
      </c>
      <c r="I77" s="43">
        <v>47024.534117647054</v>
      </c>
      <c r="J77" s="43">
        <v>594224.4729411768</v>
      </c>
      <c r="K77" s="40"/>
      <c r="L77" s="40"/>
      <c r="M77" s="43">
        <f t="shared" si="14"/>
        <v>3628094.329</v>
      </c>
      <c r="N77" s="44">
        <f t="shared" si="15"/>
        <v>0.0588983267</v>
      </c>
    </row>
    <row r="78" ht="15.0" customHeight="1">
      <c r="A78" s="40" t="s">
        <v>32</v>
      </c>
      <c r="B78" s="43"/>
      <c r="C78" s="40">
        <v>797798.2711453686</v>
      </c>
      <c r="D78" s="43"/>
      <c r="E78" s="43">
        <v>420628.6223230209</v>
      </c>
      <c r="F78" s="43">
        <v>300949.37514939095</v>
      </c>
      <c r="G78" s="43"/>
      <c r="H78" s="43">
        <v>1467469.05365699</v>
      </c>
      <c r="I78" s="43">
        <v>47024.534117647054</v>
      </c>
      <c r="J78" s="43">
        <v>594224.4729411768</v>
      </c>
      <c r="K78" s="40"/>
      <c r="L78" s="40"/>
      <c r="M78" s="43">
        <f t="shared" si="14"/>
        <v>3628094.329</v>
      </c>
      <c r="N78" s="44">
        <f t="shared" si="15"/>
        <v>0.0588983267</v>
      </c>
    </row>
    <row r="79" ht="15.0" customHeight="1">
      <c r="A79" s="40" t="s">
        <v>34</v>
      </c>
      <c r="B79" s="43"/>
      <c r="C79" s="40">
        <v>797798.2711453686</v>
      </c>
      <c r="D79" s="43"/>
      <c r="E79" s="43">
        <v>420628.6223230209</v>
      </c>
      <c r="F79" s="43">
        <v>300949.37514939095</v>
      </c>
      <c r="G79" s="43"/>
      <c r="H79" s="43">
        <v>1467469.05365699</v>
      </c>
      <c r="I79" s="43">
        <v>47024.534117647054</v>
      </c>
      <c r="J79" s="43">
        <v>594224.4729411768</v>
      </c>
      <c r="K79" s="40"/>
      <c r="L79" s="40"/>
      <c r="M79" s="43">
        <f t="shared" si="14"/>
        <v>3628094.329</v>
      </c>
      <c r="N79" s="44">
        <f t="shared" si="15"/>
        <v>0.0588983267</v>
      </c>
    </row>
    <row r="80" ht="15.0" customHeight="1">
      <c r="A80" s="40" t="s">
        <v>35</v>
      </c>
      <c r="B80" s="43"/>
      <c r="C80" s="40">
        <v>797798.2711453686</v>
      </c>
      <c r="D80" s="43"/>
      <c r="E80" s="43">
        <v>420628.6223230209</v>
      </c>
      <c r="F80" s="43">
        <v>300949.3751493909</v>
      </c>
      <c r="G80" s="43"/>
      <c r="H80" s="43">
        <v>1467469.05365699</v>
      </c>
      <c r="I80" s="43">
        <v>47024.534117647054</v>
      </c>
      <c r="J80" s="43">
        <v>594224.4729411768</v>
      </c>
      <c r="K80" s="40"/>
      <c r="L80" s="40"/>
      <c r="M80" s="43">
        <f t="shared" si="14"/>
        <v>3628094.329</v>
      </c>
      <c r="N80" s="44">
        <f t="shared" si="15"/>
        <v>0.0588983267</v>
      </c>
    </row>
    <row r="81" ht="15.0" customHeight="1">
      <c r="A81" s="40" t="s">
        <v>36</v>
      </c>
      <c r="B81" s="43"/>
      <c r="C81" s="40">
        <v>784886.5517597472</v>
      </c>
      <c r="D81" s="43"/>
      <c r="E81" s="43">
        <v>417214.5596273425</v>
      </c>
      <c r="F81" s="43">
        <v>300193.16912956873</v>
      </c>
      <c r="G81" s="43"/>
      <c r="H81" s="43">
        <v>1445387.6425725634</v>
      </c>
      <c r="I81" s="43">
        <v>47024.534117647054</v>
      </c>
      <c r="J81" s="43">
        <v>594224.4729411768</v>
      </c>
      <c r="K81" s="40"/>
      <c r="L81" s="40"/>
      <c r="M81" s="43">
        <f t="shared" si="14"/>
        <v>3588930.93</v>
      </c>
      <c r="N81" s="44">
        <f t="shared" si="15"/>
        <v>0.05826254977</v>
      </c>
    </row>
    <row r="82" ht="15.0" customHeight="1">
      <c r="A82" s="42" t="s">
        <v>38</v>
      </c>
      <c r="B82" s="43">
        <f t="shared" ref="B82:N82" si="16">SUM(B65:B81)</f>
        <v>0</v>
      </c>
      <c r="C82" s="43">
        <f t="shared" si="16"/>
        <v>13536747.17</v>
      </c>
      <c r="D82" s="43">
        <f t="shared" si="16"/>
        <v>0</v>
      </c>
      <c r="E82" s="43">
        <f t="shared" si="16"/>
        <v>7143858.454</v>
      </c>
      <c r="F82" s="43">
        <f t="shared" si="16"/>
        <v>5114626.966</v>
      </c>
      <c r="G82" s="43">
        <f t="shared" si="16"/>
        <v>0</v>
      </c>
      <c r="H82" s="43">
        <f t="shared" si="16"/>
        <v>24902811.09</v>
      </c>
      <c r="I82" s="43">
        <f t="shared" si="16"/>
        <v>799417.08</v>
      </c>
      <c r="J82" s="43">
        <f t="shared" si="16"/>
        <v>10101816.04</v>
      </c>
      <c r="K82" s="43">
        <f t="shared" si="16"/>
        <v>0</v>
      </c>
      <c r="L82" s="43">
        <f t="shared" si="16"/>
        <v>0</v>
      </c>
      <c r="M82" s="43">
        <f t="shared" si="16"/>
        <v>61599276.8</v>
      </c>
      <c r="N82" s="44">
        <f t="shared" si="16"/>
        <v>1</v>
      </c>
    </row>
    <row r="85" ht="15.0" customHeight="1">
      <c r="A85" s="40" t="s">
        <v>3</v>
      </c>
      <c r="B85" s="40" t="s">
        <v>184</v>
      </c>
      <c r="C85" s="40" t="s">
        <v>185</v>
      </c>
      <c r="D85" s="40" t="s">
        <v>186</v>
      </c>
      <c r="E85" s="40" t="s">
        <v>71</v>
      </c>
      <c r="F85" s="40" t="s">
        <v>187</v>
      </c>
      <c r="G85" s="40" t="s">
        <v>155</v>
      </c>
      <c r="H85" s="40" t="s">
        <v>74</v>
      </c>
      <c r="I85" s="40" t="s">
        <v>188</v>
      </c>
      <c r="J85" s="41" t="s">
        <v>76</v>
      </c>
      <c r="K85" s="41" t="s">
        <v>120</v>
      </c>
      <c r="L85" s="40" t="s">
        <v>121</v>
      </c>
      <c r="M85" s="42" t="s">
        <v>4</v>
      </c>
    </row>
    <row r="86" ht="15.0" customHeight="1">
      <c r="A86" s="40" t="s">
        <v>5</v>
      </c>
      <c r="B86" s="43">
        <v>265464.7034269252</v>
      </c>
      <c r="C86" s="40">
        <v>757515.6059382287</v>
      </c>
      <c r="D86" s="43">
        <v>586209.2065176473</v>
      </c>
      <c r="E86" s="43">
        <v>12467.517753333334</v>
      </c>
      <c r="F86" s="43">
        <v>39869.48376470589</v>
      </c>
      <c r="G86" s="43"/>
      <c r="H86" s="43">
        <v>450335.1835294115</v>
      </c>
      <c r="I86" s="43">
        <v>23351.630303030313</v>
      </c>
      <c r="J86" s="43">
        <v>1097019.5405015259</v>
      </c>
      <c r="K86" s="40"/>
      <c r="L86" s="40"/>
      <c r="M86" s="43">
        <f t="shared" ref="M86:M102" si="17">SUM(B86:K86)</f>
        <v>3232232.872</v>
      </c>
      <c r="N86" s="44">
        <f t="shared" ref="N86:N102" si="18">M86/SUM(M$86:M$102)</f>
        <v>0.05908108157</v>
      </c>
    </row>
    <row r="87" ht="15.0" customHeight="1">
      <c r="A87" s="40" t="s">
        <v>18</v>
      </c>
      <c r="B87" s="43">
        <v>265464.7034269252</v>
      </c>
      <c r="C87" s="40">
        <v>757515.6059382287</v>
      </c>
      <c r="D87" s="43">
        <v>586209.2065176473</v>
      </c>
      <c r="E87" s="43">
        <v>12467.517753333334</v>
      </c>
      <c r="F87" s="43">
        <v>39869.48376470589</v>
      </c>
      <c r="G87" s="43"/>
      <c r="H87" s="43">
        <v>450335.1835294115</v>
      </c>
      <c r="I87" s="43">
        <v>23351.630303030313</v>
      </c>
      <c r="J87" s="43">
        <v>1097019.5405015259</v>
      </c>
      <c r="K87" s="40"/>
      <c r="L87" s="40"/>
      <c r="M87" s="43">
        <f t="shared" si="17"/>
        <v>3232232.872</v>
      </c>
      <c r="N87" s="44">
        <f t="shared" si="18"/>
        <v>0.05908108157</v>
      </c>
    </row>
    <row r="88" ht="15.0" customHeight="1">
      <c r="A88" s="40" t="s">
        <v>20</v>
      </c>
      <c r="B88" s="43">
        <v>265464.7034269252</v>
      </c>
      <c r="C88" s="40">
        <v>757515.6059382287</v>
      </c>
      <c r="D88" s="43">
        <v>586209.2065176473</v>
      </c>
      <c r="E88" s="43">
        <v>12467.517753333334</v>
      </c>
      <c r="F88" s="43">
        <v>39869.48376470589</v>
      </c>
      <c r="G88" s="43"/>
      <c r="H88" s="43">
        <v>450335.1835294115</v>
      </c>
      <c r="I88" s="43">
        <v>23351.630303030313</v>
      </c>
      <c r="J88" s="43">
        <v>1097019.5405015259</v>
      </c>
      <c r="K88" s="40"/>
      <c r="L88" s="40"/>
      <c r="M88" s="43">
        <f t="shared" si="17"/>
        <v>3232232.872</v>
      </c>
      <c r="N88" s="44">
        <f t="shared" si="18"/>
        <v>0.05908108157</v>
      </c>
    </row>
    <row r="89" ht="15.0" customHeight="1">
      <c r="A89" s="40" t="s">
        <v>22</v>
      </c>
      <c r="B89" s="43">
        <v>242306.61559806063</v>
      </c>
      <c r="C89" s="40">
        <v>739870.0109632824</v>
      </c>
      <c r="D89" s="43">
        <v>586209.2065176473</v>
      </c>
      <c r="E89" s="43">
        <v>0.0</v>
      </c>
      <c r="F89" s="43">
        <v>39869.48376470589</v>
      </c>
      <c r="G89" s="43"/>
      <c r="H89" s="43">
        <v>450335.1835294115</v>
      </c>
      <c r="I89" s="43">
        <v>23351.630303030313</v>
      </c>
      <c r="J89" s="43">
        <v>1097019.5405015259</v>
      </c>
      <c r="K89" s="40"/>
      <c r="L89" s="40"/>
      <c r="M89" s="43">
        <f t="shared" si="17"/>
        <v>3178961.671</v>
      </c>
      <c r="N89" s="44">
        <f t="shared" si="18"/>
        <v>0.05810735218</v>
      </c>
    </row>
    <row r="90" ht="15.0" customHeight="1">
      <c r="A90" s="40" t="s">
        <v>23</v>
      </c>
      <c r="B90" s="43">
        <v>265464.7034269252</v>
      </c>
      <c r="C90" s="40">
        <v>757515.6059382287</v>
      </c>
      <c r="D90" s="43">
        <v>586209.2065176473</v>
      </c>
      <c r="E90" s="43">
        <v>12467.517753333334</v>
      </c>
      <c r="F90" s="43">
        <v>39869.48376470589</v>
      </c>
      <c r="G90" s="43"/>
      <c r="H90" s="43">
        <v>450335.1835294115</v>
      </c>
      <c r="I90" s="43">
        <v>23351.630303030313</v>
      </c>
      <c r="J90" s="43">
        <v>1097019.5405015259</v>
      </c>
      <c r="K90" s="40"/>
      <c r="L90" s="40"/>
      <c r="M90" s="43">
        <f t="shared" si="17"/>
        <v>3232232.872</v>
      </c>
      <c r="N90" s="44">
        <f t="shared" si="18"/>
        <v>0.05908108157</v>
      </c>
    </row>
    <row r="91" ht="15.0" customHeight="1">
      <c r="A91" s="40" t="s">
        <v>24</v>
      </c>
      <c r="B91" s="43">
        <v>265464.7034269252</v>
      </c>
      <c r="C91" s="40">
        <v>757515.6059382287</v>
      </c>
      <c r="D91" s="43">
        <v>586209.2065176473</v>
      </c>
      <c r="E91" s="43">
        <v>12467.517753333334</v>
      </c>
      <c r="F91" s="43">
        <v>39869.48376470589</v>
      </c>
      <c r="G91" s="43"/>
      <c r="H91" s="43">
        <v>450335.18352941144</v>
      </c>
      <c r="I91" s="43">
        <v>23351.630303030313</v>
      </c>
      <c r="J91" s="43">
        <v>1097019.5405015259</v>
      </c>
      <c r="K91" s="40"/>
      <c r="L91" s="40"/>
      <c r="M91" s="43">
        <f t="shared" si="17"/>
        <v>3232232.872</v>
      </c>
      <c r="N91" s="44">
        <f t="shared" si="18"/>
        <v>0.05908108157</v>
      </c>
    </row>
    <row r="92" ht="15.0" customHeight="1">
      <c r="A92" s="40" t="s">
        <v>25</v>
      </c>
      <c r="B92" s="43">
        <v>265464.7034269252</v>
      </c>
      <c r="C92" s="40">
        <v>757515.6059382287</v>
      </c>
      <c r="D92" s="43">
        <v>586209.2065176473</v>
      </c>
      <c r="E92" s="43">
        <v>12467.517753333334</v>
      </c>
      <c r="F92" s="43">
        <v>39869.48376470589</v>
      </c>
      <c r="G92" s="43"/>
      <c r="H92" s="43">
        <v>450335.1835294115</v>
      </c>
      <c r="I92" s="43">
        <v>23351.630303030313</v>
      </c>
      <c r="J92" s="43">
        <v>1097019.5405015259</v>
      </c>
      <c r="K92" s="40"/>
      <c r="L92" s="40"/>
      <c r="M92" s="43">
        <f t="shared" si="17"/>
        <v>3232232.872</v>
      </c>
      <c r="N92" s="44">
        <f t="shared" si="18"/>
        <v>0.05908108157</v>
      </c>
    </row>
    <row r="93" ht="15.0" customHeight="1">
      <c r="A93" s="40" t="s">
        <v>26</v>
      </c>
      <c r="B93" s="43">
        <v>265464.7034269252</v>
      </c>
      <c r="C93" s="40">
        <v>757515.6059382285</v>
      </c>
      <c r="D93" s="43">
        <v>586209.2065176473</v>
      </c>
      <c r="E93" s="43">
        <v>12467.517753333334</v>
      </c>
      <c r="F93" s="43">
        <v>39869.48376470589</v>
      </c>
      <c r="G93" s="43"/>
      <c r="H93" s="43">
        <v>450335.1835294115</v>
      </c>
      <c r="I93" s="43">
        <v>23351.630303030313</v>
      </c>
      <c r="J93" s="43">
        <v>1097019.5405015259</v>
      </c>
      <c r="K93" s="40"/>
      <c r="L93" s="40"/>
      <c r="M93" s="43">
        <f t="shared" si="17"/>
        <v>3232232.872</v>
      </c>
      <c r="N93" s="44">
        <f t="shared" si="18"/>
        <v>0.05908108157</v>
      </c>
    </row>
    <row r="94" ht="15.0" customHeight="1">
      <c r="A94" s="40" t="s">
        <v>27</v>
      </c>
      <c r="B94" s="43">
        <v>265464.7034269252</v>
      </c>
      <c r="C94" s="40">
        <v>757515.6059382285</v>
      </c>
      <c r="D94" s="43">
        <v>586209.2065176473</v>
      </c>
      <c r="E94" s="43">
        <v>12467.517753333334</v>
      </c>
      <c r="F94" s="43">
        <v>39869.48376470589</v>
      </c>
      <c r="G94" s="43"/>
      <c r="H94" s="43">
        <v>450335.1835294115</v>
      </c>
      <c r="I94" s="43">
        <v>23351.630303030313</v>
      </c>
      <c r="J94" s="43">
        <v>1097019.5405015259</v>
      </c>
      <c r="K94" s="40"/>
      <c r="L94" s="40"/>
      <c r="M94" s="43">
        <f t="shared" si="17"/>
        <v>3232232.872</v>
      </c>
      <c r="N94" s="44">
        <f t="shared" si="18"/>
        <v>0.05908108157</v>
      </c>
    </row>
    <row r="95" ht="15.0" customHeight="1">
      <c r="A95" s="40" t="s">
        <v>28</v>
      </c>
      <c r="B95" s="43">
        <v>265464.7034269252</v>
      </c>
      <c r="C95" s="40">
        <v>757515.6059382287</v>
      </c>
      <c r="D95" s="43">
        <v>586209.2065176473</v>
      </c>
      <c r="E95" s="43">
        <v>12467.517753333334</v>
      </c>
      <c r="F95" s="43">
        <v>39869.48376470589</v>
      </c>
      <c r="G95" s="43"/>
      <c r="H95" s="43">
        <v>450335.1835294115</v>
      </c>
      <c r="I95" s="43">
        <v>11675.815151515157</v>
      </c>
      <c r="J95" s="43">
        <v>975703.1219755976</v>
      </c>
      <c r="K95" s="40"/>
      <c r="L95" s="40"/>
      <c r="M95" s="43">
        <f t="shared" si="17"/>
        <v>3099240.638</v>
      </c>
      <c r="N95" s="44">
        <f t="shared" si="18"/>
        <v>0.05665015369</v>
      </c>
    </row>
    <row r="96" ht="15.0" customHeight="1">
      <c r="A96" s="40" t="s">
        <v>29</v>
      </c>
      <c r="B96" s="43">
        <v>265464.7034269252</v>
      </c>
      <c r="C96" s="40">
        <v>757515.6059382287</v>
      </c>
      <c r="D96" s="43">
        <v>586209.2065176473</v>
      </c>
      <c r="E96" s="43">
        <v>12467.517753333334</v>
      </c>
      <c r="F96" s="43">
        <v>39869.48376470589</v>
      </c>
      <c r="G96" s="43"/>
      <c r="H96" s="43">
        <v>450335.1835294115</v>
      </c>
      <c r="I96" s="43">
        <v>23351.630303030313</v>
      </c>
      <c r="J96" s="43">
        <v>1097019.5405015259</v>
      </c>
      <c r="K96" s="40"/>
      <c r="L96" s="40"/>
      <c r="M96" s="43">
        <f t="shared" si="17"/>
        <v>3232232.872</v>
      </c>
      <c r="N96" s="44">
        <f t="shared" si="18"/>
        <v>0.05908108157</v>
      </c>
    </row>
    <row r="97" ht="15.0" customHeight="1">
      <c r="A97" s="40" t="s">
        <v>30</v>
      </c>
      <c r="B97" s="43">
        <v>265464.7034269252</v>
      </c>
      <c r="C97" s="40">
        <v>757515.6059382287</v>
      </c>
      <c r="D97" s="43">
        <v>586209.2065176473</v>
      </c>
      <c r="E97" s="43">
        <v>12467.517753333334</v>
      </c>
      <c r="F97" s="43">
        <v>39869.48376470589</v>
      </c>
      <c r="G97" s="43"/>
      <c r="H97" s="43">
        <v>450335.1835294115</v>
      </c>
      <c r="I97" s="43">
        <v>23351.630303030313</v>
      </c>
      <c r="J97" s="43">
        <v>1097019.5405015259</v>
      </c>
      <c r="K97" s="40"/>
      <c r="L97" s="40"/>
      <c r="M97" s="43">
        <f t="shared" si="17"/>
        <v>3232232.872</v>
      </c>
      <c r="N97" s="44">
        <f t="shared" si="18"/>
        <v>0.05908108157</v>
      </c>
    </row>
    <row r="98" ht="15.0" customHeight="1">
      <c r="A98" s="40" t="s">
        <v>31</v>
      </c>
      <c r="B98" s="43">
        <v>265464.7034269252</v>
      </c>
      <c r="C98" s="40">
        <v>757515.6059382287</v>
      </c>
      <c r="D98" s="43">
        <v>586209.2065176473</v>
      </c>
      <c r="E98" s="43">
        <v>12467.517753333334</v>
      </c>
      <c r="F98" s="43">
        <v>39869.48376470589</v>
      </c>
      <c r="G98" s="43"/>
      <c r="H98" s="43">
        <v>450335.1835294115</v>
      </c>
      <c r="I98" s="43">
        <v>23351.630303030313</v>
      </c>
      <c r="J98" s="43">
        <v>1097019.5405015259</v>
      </c>
      <c r="K98" s="40"/>
      <c r="L98" s="40"/>
      <c r="M98" s="43">
        <f t="shared" si="17"/>
        <v>3232232.872</v>
      </c>
      <c r="N98" s="44">
        <f t="shared" si="18"/>
        <v>0.05908108157</v>
      </c>
    </row>
    <row r="99" ht="15.0" customHeight="1">
      <c r="A99" s="40" t="s">
        <v>32</v>
      </c>
      <c r="B99" s="43">
        <v>265464.7034269252</v>
      </c>
      <c r="C99" s="40">
        <v>757515.6059382287</v>
      </c>
      <c r="D99" s="43">
        <v>586209.2065176473</v>
      </c>
      <c r="E99" s="43">
        <v>12467.517753333334</v>
      </c>
      <c r="F99" s="43">
        <v>39869.48376470589</v>
      </c>
      <c r="G99" s="43"/>
      <c r="H99" s="43">
        <v>450335.1835294115</v>
      </c>
      <c r="I99" s="43">
        <v>23351.630303030313</v>
      </c>
      <c r="J99" s="43">
        <v>1097019.5405015259</v>
      </c>
      <c r="K99" s="40"/>
      <c r="L99" s="40"/>
      <c r="M99" s="43">
        <f t="shared" si="17"/>
        <v>3232232.872</v>
      </c>
      <c r="N99" s="44">
        <f t="shared" si="18"/>
        <v>0.05908108157</v>
      </c>
    </row>
    <row r="100" ht="15.0" customHeight="1">
      <c r="A100" s="40" t="s">
        <v>34</v>
      </c>
      <c r="B100" s="43">
        <v>265464.7034269252</v>
      </c>
      <c r="C100" s="40">
        <v>757515.6059382287</v>
      </c>
      <c r="D100" s="43">
        <v>586209.2065176473</v>
      </c>
      <c r="E100" s="43">
        <v>12467.517753333334</v>
      </c>
      <c r="F100" s="43">
        <v>39869.48376470589</v>
      </c>
      <c r="G100" s="43"/>
      <c r="H100" s="43">
        <v>450335.18352941144</v>
      </c>
      <c r="I100" s="43">
        <v>23351.630303030313</v>
      </c>
      <c r="J100" s="43">
        <v>1097019.5405015259</v>
      </c>
      <c r="K100" s="40"/>
      <c r="L100" s="40"/>
      <c r="M100" s="43">
        <f t="shared" si="17"/>
        <v>3232232.872</v>
      </c>
      <c r="N100" s="44">
        <f t="shared" si="18"/>
        <v>0.05908108157</v>
      </c>
    </row>
    <row r="101" ht="15.0" customHeight="1">
      <c r="A101" s="40" t="s">
        <v>35</v>
      </c>
      <c r="B101" s="43">
        <v>265464.7034269252</v>
      </c>
      <c r="C101" s="40">
        <v>757515.6059382287</v>
      </c>
      <c r="D101" s="43">
        <v>586209.2065176473</v>
      </c>
      <c r="E101" s="43">
        <v>12467.517753333334</v>
      </c>
      <c r="F101" s="43">
        <v>39869.48376470589</v>
      </c>
      <c r="G101" s="43"/>
      <c r="H101" s="43">
        <v>450335.1835294115</v>
      </c>
      <c r="I101" s="43">
        <v>23351.630303030313</v>
      </c>
      <c r="J101" s="43">
        <v>1097019.5405015259</v>
      </c>
      <c r="K101" s="40"/>
      <c r="L101" s="40"/>
      <c r="M101" s="43">
        <f t="shared" si="17"/>
        <v>3232232.872</v>
      </c>
      <c r="N101" s="44">
        <f t="shared" si="18"/>
        <v>0.05908108157</v>
      </c>
    </row>
    <row r="102" ht="15.0" customHeight="1">
      <c r="A102" s="40" t="s">
        <v>36</v>
      </c>
      <c r="B102" s="43">
        <v>242306.61559806063</v>
      </c>
      <c r="C102" s="40">
        <v>739870.0109632824</v>
      </c>
      <c r="D102" s="43">
        <v>586209.2065176473</v>
      </c>
      <c r="E102" s="43">
        <v>0.0</v>
      </c>
      <c r="F102" s="43">
        <v>39869.48376470589</v>
      </c>
      <c r="G102" s="43"/>
      <c r="H102" s="43">
        <v>450335.1835294115</v>
      </c>
      <c r="I102" s="43">
        <v>23351.630303030313</v>
      </c>
      <c r="J102" s="43">
        <v>1097019.5405015259</v>
      </c>
      <c r="K102" s="40"/>
      <c r="L102" s="40"/>
      <c r="M102" s="43">
        <f t="shared" si="17"/>
        <v>3178961.671</v>
      </c>
      <c r="N102" s="44">
        <f t="shared" si="18"/>
        <v>0.05810735218</v>
      </c>
    </row>
    <row r="103" ht="15.0" customHeight="1">
      <c r="A103" s="42" t="s">
        <v>38</v>
      </c>
      <c r="B103" s="43">
        <f t="shared" ref="B103:N103" si="19">SUM(B86:B102)</f>
        <v>4466583.783</v>
      </c>
      <c r="C103" s="43">
        <f t="shared" si="19"/>
        <v>12842474.11</v>
      </c>
      <c r="D103" s="43">
        <f t="shared" si="19"/>
        <v>9965556.511</v>
      </c>
      <c r="E103" s="43">
        <f t="shared" si="19"/>
        <v>187012.7663</v>
      </c>
      <c r="F103" s="43">
        <f t="shared" si="19"/>
        <v>677781.224</v>
      </c>
      <c r="G103" s="43">
        <f t="shared" si="19"/>
        <v>0</v>
      </c>
      <c r="H103" s="43">
        <f t="shared" si="19"/>
        <v>7655698.12</v>
      </c>
      <c r="I103" s="43">
        <f t="shared" si="19"/>
        <v>385301.9</v>
      </c>
      <c r="J103" s="43">
        <f t="shared" si="19"/>
        <v>18528015.77</v>
      </c>
      <c r="K103" s="43">
        <f t="shared" si="19"/>
        <v>0</v>
      </c>
      <c r="L103" s="43">
        <f t="shared" si="19"/>
        <v>0</v>
      </c>
      <c r="M103" s="43">
        <f t="shared" si="19"/>
        <v>54708424.18</v>
      </c>
      <c r="N103" s="44">
        <f t="shared" si="19"/>
        <v>1</v>
      </c>
    </row>
    <row r="106" ht="15.0" customHeight="1">
      <c r="A106" s="42" t="s">
        <v>3</v>
      </c>
      <c r="B106" s="40" t="s">
        <v>218</v>
      </c>
      <c r="C106" s="40" t="s">
        <v>220</v>
      </c>
      <c r="D106" s="40" t="s">
        <v>221</v>
      </c>
      <c r="E106" s="40" t="s">
        <v>222</v>
      </c>
      <c r="F106" s="40" t="s">
        <v>81</v>
      </c>
      <c r="G106" s="40" t="s">
        <v>155</v>
      </c>
      <c r="H106" s="40" t="s">
        <v>223</v>
      </c>
      <c r="I106" s="40" t="s">
        <v>224</v>
      </c>
      <c r="J106" s="41" t="s">
        <v>85</v>
      </c>
      <c r="K106" s="41" t="s">
        <v>86</v>
      </c>
      <c r="L106" s="40" t="s">
        <v>121</v>
      </c>
      <c r="M106" s="42" t="s">
        <v>4</v>
      </c>
    </row>
    <row r="107" ht="15.0" customHeight="1">
      <c r="A107" s="40" t="s">
        <v>5</v>
      </c>
      <c r="B107" s="43">
        <v>402794.7110620828</v>
      </c>
      <c r="C107" s="40">
        <v>246490.1536574465</v>
      </c>
      <c r="D107" s="43">
        <v>1406114.1257986273</v>
      </c>
      <c r="E107" s="43">
        <v>79866.66515142897</v>
      </c>
      <c r="F107" s="43">
        <v>352726.4611259426</v>
      </c>
      <c r="G107" s="43"/>
      <c r="H107" s="43">
        <v>59007.721212121214</v>
      </c>
      <c r="I107" s="43">
        <v>1069466.0612095713</v>
      </c>
      <c r="J107" s="43">
        <v>27595.83939393939</v>
      </c>
      <c r="K107" s="40">
        <v>1466814.113129534</v>
      </c>
      <c r="L107" s="40"/>
      <c r="M107" s="43">
        <f t="shared" ref="M107:M123" si="20">SUM(B107:K107)</f>
        <v>5110875.852</v>
      </c>
      <c r="N107" s="44">
        <f t="shared" ref="N107:N123" si="21">M107/SUM(M$107:M$123)</f>
        <v>0.05965413525</v>
      </c>
    </row>
    <row r="108" ht="15.0" customHeight="1">
      <c r="A108" s="40" t="s">
        <v>18</v>
      </c>
      <c r="B108" s="43">
        <v>402794.7110620828</v>
      </c>
      <c r="C108" s="40">
        <v>246490.1536574465</v>
      </c>
      <c r="D108" s="43">
        <v>1406114.1257986273</v>
      </c>
      <c r="E108" s="43">
        <v>79866.66515142897</v>
      </c>
      <c r="F108" s="43">
        <v>352726.4611259426</v>
      </c>
      <c r="G108" s="43"/>
      <c r="H108" s="43">
        <v>59007.721212121214</v>
      </c>
      <c r="I108" s="43">
        <v>1069466.0612095713</v>
      </c>
      <c r="J108" s="43">
        <v>27595.83939393939</v>
      </c>
      <c r="K108" s="40">
        <v>1466814.113129534</v>
      </c>
      <c r="L108" s="40"/>
      <c r="M108" s="43">
        <f t="shared" si="20"/>
        <v>5110875.852</v>
      </c>
      <c r="N108" s="44">
        <f t="shared" si="21"/>
        <v>0.05965413525</v>
      </c>
    </row>
    <row r="109" ht="15.0" customHeight="1">
      <c r="A109" s="40" t="s">
        <v>20</v>
      </c>
      <c r="B109" s="43">
        <v>402794.7110620828</v>
      </c>
      <c r="C109" s="40">
        <v>246490.1536574465</v>
      </c>
      <c r="D109" s="43">
        <v>1406114.1257986273</v>
      </c>
      <c r="E109" s="43">
        <v>79866.66515142897</v>
      </c>
      <c r="F109" s="43">
        <v>352726.4611259426</v>
      </c>
      <c r="G109" s="43"/>
      <c r="H109" s="43">
        <v>59007.721212121214</v>
      </c>
      <c r="I109" s="43">
        <v>1069466.0612095713</v>
      </c>
      <c r="J109" s="43">
        <v>27595.83939393939</v>
      </c>
      <c r="K109" s="40">
        <v>1466814.113129534</v>
      </c>
      <c r="L109" s="40"/>
      <c r="M109" s="43">
        <f t="shared" si="20"/>
        <v>5110875.852</v>
      </c>
      <c r="N109" s="44">
        <f t="shared" si="21"/>
        <v>0.05965413525</v>
      </c>
    </row>
    <row r="110" ht="15.0" customHeight="1">
      <c r="A110" s="40" t="s">
        <v>22</v>
      </c>
      <c r="B110" s="43">
        <v>228484.74815439468</v>
      </c>
      <c r="C110" s="40">
        <v>246490.1536574465</v>
      </c>
      <c r="D110" s="43">
        <v>1410872.4522816066</v>
      </c>
      <c r="E110" s="43">
        <v>46287.39072312422</v>
      </c>
      <c r="F110" s="43">
        <v>295709.88747534156</v>
      </c>
      <c r="G110" s="43"/>
      <c r="H110" s="43">
        <v>59007.721212121214</v>
      </c>
      <c r="I110" s="43">
        <v>1069466.0612095713</v>
      </c>
      <c r="J110" s="43">
        <v>27595.83939393939</v>
      </c>
      <c r="K110" s="40">
        <v>1444119.2883068374</v>
      </c>
      <c r="L110" s="40"/>
      <c r="M110" s="43">
        <f t="shared" si="20"/>
        <v>4828033.542</v>
      </c>
      <c r="N110" s="44">
        <f t="shared" si="21"/>
        <v>0.05635280024</v>
      </c>
    </row>
    <row r="111" ht="15.0" customHeight="1">
      <c r="A111" s="40" t="s">
        <v>23</v>
      </c>
      <c r="B111" s="43">
        <v>402794.7110620828</v>
      </c>
      <c r="C111" s="40">
        <v>246490.1536574465</v>
      </c>
      <c r="D111" s="43">
        <v>1406114.1257986273</v>
      </c>
      <c r="E111" s="43">
        <v>79866.66515142897</v>
      </c>
      <c r="F111" s="43">
        <v>352726.4611259426</v>
      </c>
      <c r="G111" s="43"/>
      <c r="H111" s="43">
        <v>59007.721212121214</v>
      </c>
      <c r="I111" s="43">
        <v>1069466.0612095713</v>
      </c>
      <c r="J111" s="43">
        <v>27595.83939393939</v>
      </c>
      <c r="K111" s="40">
        <v>1466814.113129534</v>
      </c>
      <c r="L111" s="40"/>
      <c r="M111" s="43">
        <f t="shared" si="20"/>
        <v>5110875.852</v>
      </c>
      <c r="N111" s="44">
        <f t="shared" si="21"/>
        <v>0.05965413525</v>
      </c>
    </row>
    <row r="112" ht="15.0" customHeight="1">
      <c r="A112" s="40" t="s">
        <v>24</v>
      </c>
      <c r="B112" s="43">
        <v>402794.7110620828</v>
      </c>
      <c r="C112" s="40">
        <v>246490.1536574465</v>
      </c>
      <c r="D112" s="43">
        <v>1406114.1257986273</v>
      </c>
      <c r="E112" s="43">
        <v>79866.66515142897</v>
      </c>
      <c r="F112" s="43">
        <v>352726.4611259426</v>
      </c>
      <c r="G112" s="43"/>
      <c r="H112" s="43">
        <v>59007.721212121214</v>
      </c>
      <c r="I112" s="43">
        <v>1069466.0612095713</v>
      </c>
      <c r="J112" s="43">
        <v>27595.83939393939</v>
      </c>
      <c r="K112" s="40">
        <v>1466814.113129534</v>
      </c>
      <c r="L112" s="40"/>
      <c r="M112" s="43">
        <f t="shared" si="20"/>
        <v>5110875.852</v>
      </c>
      <c r="N112" s="44">
        <f t="shared" si="21"/>
        <v>0.05965413525</v>
      </c>
    </row>
    <row r="113" ht="15.0" customHeight="1">
      <c r="A113" s="40" t="s">
        <v>25</v>
      </c>
      <c r="B113" s="43">
        <v>402794.7110620828</v>
      </c>
      <c r="C113" s="40">
        <v>246490.1536574465</v>
      </c>
      <c r="D113" s="43">
        <v>1406114.1257986273</v>
      </c>
      <c r="E113" s="43">
        <v>79866.66515142897</v>
      </c>
      <c r="F113" s="43">
        <v>352726.4611259426</v>
      </c>
      <c r="G113" s="43"/>
      <c r="H113" s="43">
        <v>59007.721212121214</v>
      </c>
      <c r="I113" s="43">
        <v>1069466.0612095713</v>
      </c>
      <c r="J113" s="43">
        <v>27595.83939393939</v>
      </c>
      <c r="K113" s="40">
        <v>1466814.113129534</v>
      </c>
      <c r="L113" s="40"/>
      <c r="M113" s="43">
        <f t="shared" si="20"/>
        <v>5110875.852</v>
      </c>
      <c r="N113" s="44">
        <f t="shared" si="21"/>
        <v>0.05965413525</v>
      </c>
    </row>
    <row r="114" ht="15.0" customHeight="1">
      <c r="A114" s="40" t="s">
        <v>26</v>
      </c>
      <c r="B114" s="43">
        <v>402794.7110620828</v>
      </c>
      <c r="C114" s="40">
        <v>246490.1536574465</v>
      </c>
      <c r="D114" s="43">
        <v>1406114.1257986273</v>
      </c>
      <c r="E114" s="43">
        <v>79866.66515142897</v>
      </c>
      <c r="F114" s="43">
        <v>352726.4611259426</v>
      </c>
      <c r="G114" s="43"/>
      <c r="H114" s="43">
        <v>59007.721212121214</v>
      </c>
      <c r="I114" s="43">
        <v>1069466.0612095713</v>
      </c>
      <c r="J114" s="43">
        <v>27595.83939393939</v>
      </c>
      <c r="K114" s="40">
        <v>1466814.113129534</v>
      </c>
      <c r="L114" s="40"/>
      <c r="M114" s="43">
        <f t="shared" si="20"/>
        <v>5110875.852</v>
      </c>
      <c r="N114" s="44">
        <f t="shared" si="21"/>
        <v>0.05965413525</v>
      </c>
    </row>
    <row r="115" ht="15.0" customHeight="1">
      <c r="A115" s="40" t="s">
        <v>27</v>
      </c>
      <c r="B115" s="43">
        <v>402794.7110620828</v>
      </c>
      <c r="C115" s="40">
        <v>246490.1536574465</v>
      </c>
      <c r="D115" s="43">
        <v>1406114.1257986273</v>
      </c>
      <c r="E115" s="43">
        <v>79866.66515142897</v>
      </c>
      <c r="F115" s="43">
        <v>352726.4611259426</v>
      </c>
      <c r="G115" s="43"/>
      <c r="H115" s="43">
        <v>59007.721212121214</v>
      </c>
      <c r="I115" s="43">
        <v>1069466.0612095713</v>
      </c>
      <c r="J115" s="43">
        <v>27595.83939393939</v>
      </c>
      <c r="K115" s="40">
        <v>1466814.113129534</v>
      </c>
      <c r="L115" s="40"/>
      <c r="M115" s="43">
        <f t="shared" si="20"/>
        <v>5110875.852</v>
      </c>
      <c r="N115" s="44">
        <f t="shared" si="21"/>
        <v>0.05965413525</v>
      </c>
    </row>
    <row r="116" ht="15.0" customHeight="1">
      <c r="A116" s="40" t="s">
        <v>28</v>
      </c>
      <c r="B116" s="43">
        <v>388351.53092205874</v>
      </c>
      <c r="C116" s="40">
        <v>202889.412680857</v>
      </c>
      <c r="D116" s="43">
        <v>1338918.3468559491</v>
      </c>
      <c r="E116" s="43">
        <v>51846.32693374614</v>
      </c>
      <c r="F116" s="43">
        <v>331412.47718612524</v>
      </c>
      <c r="G116" s="43"/>
      <c r="H116" s="43">
        <v>29503.860606060607</v>
      </c>
      <c r="I116" s="43">
        <v>968297.2206468375</v>
      </c>
      <c r="J116" s="43">
        <v>13797.919696969695</v>
      </c>
      <c r="K116" s="40">
        <v>1141784.8895728427</v>
      </c>
      <c r="L116" s="40"/>
      <c r="M116" s="43">
        <f t="shared" si="20"/>
        <v>4466801.985</v>
      </c>
      <c r="N116" s="44">
        <f t="shared" si="21"/>
        <v>0.05213650605</v>
      </c>
    </row>
    <row r="117" ht="15.0" customHeight="1">
      <c r="A117" s="40" t="s">
        <v>29</v>
      </c>
      <c r="B117" s="43">
        <v>402794.7110620828</v>
      </c>
      <c r="C117" s="40">
        <v>246490.1536574465</v>
      </c>
      <c r="D117" s="43">
        <v>1406114.1257986273</v>
      </c>
      <c r="E117" s="43">
        <v>79866.66515142897</v>
      </c>
      <c r="F117" s="43">
        <v>352726.4611259426</v>
      </c>
      <c r="G117" s="43"/>
      <c r="H117" s="43">
        <v>59007.721212121214</v>
      </c>
      <c r="I117" s="43">
        <v>1069466.0612095713</v>
      </c>
      <c r="J117" s="43">
        <v>27595.83939393939</v>
      </c>
      <c r="K117" s="40">
        <v>1466814.113129534</v>
      </c>
      <c r="L117" s="40"/>
      <c r="M117" s="43">
        <f t="shared" si="20"/>
        <v>5110875.852</v>
      </c>
      <c r="N117" s="44">
        <f t="shared" si="21"/>
        <v>0.05965413525</v>
      </c>
    </row>
    <row r="118" ht="15.0" customHeight="1">
      <c r="A118" s="40" t="s">
        <v>30</v>
      </c>
      <c r="B118" s="43">
        <v>402794.7110620828</v>
      </c>
      <c r="C118" s="40">
        <v>246490.1536574465</v>
      </c>
      <c r="D118" s="43">
        <v>1406114.1257986273</v>
      </c>
      <c r="E118" s="43">
        <v>79866.66515142897</v>
      </c>
      <c r="F118" s="43">
        <v>352726.4611259426</v>
      </c>
      <c r="G118" s="43"/>
      <c r="H118" s="43">
        <v>59007.721212121214</v>
      </c>
      <c r="I118" s="43">
        <v>1069466.0612095713</v>
      </c>
      <c r="J118" s="43">
        <v>27595.83939393939</v>
      </c>
      <c r="K118" s="40">
        <v>1466814.113129534</v>
      </c>
      <c r="L118" s="40"/>
      <c r="M118" s="43">
        <f t="shared" si="20"/>
        <v>5110875.852</v>
      </c>
      <c r="N118" s="44">
        <f t="shared" si="21"/>
        <v>0.05965413525</v>
      </c>
    </row>
    <row r="119" ht="15.0" customHeight="1">
      <c r="A119" s="40" t="s">
        <v>31</v>
      </c>
      <c r="B119" s="43">
        <v>402794.7110620828</v>
      </c>
      <c r="C119" s="40">
        <v>246490.1536574465</v>
      </c>
      <c r="D119" s="43">
        <v>1406114.1257986273</v>
      </c>
      <c r="E119" s="43">
        <v>79866.66515142897</v>
      </c>
      <c r="F119" s="43">
        <v>352726.4611259426</v>
      </c>
      <c r="G119" s="43"/>
      <c r="H119" s="43">
        <v>59007.721212121214</v>
      </c>
      <c r="I119" s="43">
        <v>1069466.0612095713</v>
      </c>
      <c r="J119" s="43">
        <v>27595.83939393939</v>
      </c>
      <c r="K119" s="40">
        <v>1466814.113129534</v>
      </c>
      <c r="L119" s="40"/>
      <c r="M119" s="43">
        <f t="shared" si="20"/>
        <v>5110875.852</v>
      </c>
      <c r="N119" s="44">
        <f t="shared" si="21"/>
        <v>0.05965413525</v>
      </c>
    </row>
    <row r="120" ht="15.0" customHeight="1">
      <c r="A120" s="40" t="s">
        <v>32</v>
      </c>
      <c r="B120" s="43">
        <v>402794.7110620828</v>
      </c>
      <c r="C120" s="40">
        <v>246490.1536574465</v>
      </c>
      <c r="D120" s="43">
        <v>1406114.1257986273</v>
      </c>
      <c r="E120" s="43">
        <v>79866.66515142897</v>
      </c>
      <c r="F120" s="43">
        <v>352726.4611259426</v>
      </c>
      <c r="G120" s="43"/>
      <c r="H120" s="43">
        <v>59007.721212121214</v>
      </c>
      <c r="I120" s="43">
        <v>1069466.0612095713</v>
      </c>
      <c r="J120" s="43">
        <v>27595.83939393939</v>
      </c>
      <c r="K120" s="40">
        <v>1466814.113129534</v>
      </c>
      <c r="L120" s="40"/>
      <c r="M120" s="43">
        <f t="shared" si="20"/>
        <v>5110875.852</v>
      </c>
      <c r="N120" s="44">
        <f t="shared" si="21"/>
        <v>0.05965413525</v>
      </c>
    </row>
    <row r="121" ht="15.0" customHeight="1">
      <c r="A121" s="40" t="s">
        <v>34</v>
      </c>
      <c r="B121" s="43">
        <v>402794.7110620828</v>
      </c>
      <c r="C121" s="40">
        <v>246490.1536574465</v>
      </c>
      <c r="D121" s="43">
        <v>1406114.1257986273</v>
      </c>
      <c r="E121" s="43">
        <v>79866.66515142897</v>
      </c>
      <c r="F121" s="43">
        <v>352726.4611259426</v>
      </c>
      <c r="G121" s="43"/>
      <c r="H121" s="43">
        <v>59007.721212121214</v>
      </c>
      <c r="I121" s="43">
        <v>1069466.0612095713</v>
      </c>
      <c r="J121" s="43">
        <v>27595.83939393939</v>
      </c>
      <c r="K121" s="40">
        <v>1466814.113129534</v>
      </c>
      <c r="L121" s="40"/>
      <c r="M121" s="43">
        <f t="shared" si="20"/>
        <v>5110875.852</v>
      </c>
      <c r="N121" s="44">
        <f t="shared" si="21"/>
        <v>0.05965413525</v>
      </c>
    </row>
    <row r="122" ht="15.0" customHeight="1">
      <c r="A122" s="40" t="s">
        <v>35</v>
      </c>
      <c r="B122" s="43">
        <v>402794.7110620828</v>
      </c>
      <c r="C122" s="40">
        <v>246490.1536574465</v>
      </c>
      <c r="D122" s="43">
        <v>1406114.1257986273</v>
      </c>
      <c r="E122" s="43">
        <v>79866.66515142897</v>
      </c>
      <c r="F122" s="43">
        <v>352726.4611259426</v>
      </c>
      <c r="G122" s="43"/>
      <c r="H122" s="43">
        <v>59007.721212121214</v>
      </c>
      <c r="I122" s="43">
        <v>1069466.0612095713</v>
      </c>
      <c r="J122" s="43">
        <v>27595.83939393939</v>
      </c>
      <c r="K122" s="40">
        <v>1466814.113129534</v>
      </c>
      <c r="L122" s="40"/>
      <c r="M122" s="43">
        <f t="shared" si="20"/>
        <v>5110875.852</v>
      </c>
      <c r="N122" s="44">
        <f t="shared" si="21"/>
        <v>0.05965413525</v>
      </c>
    </row>
    <row r="123" ht="15.0" customHeight="1">
      <c r="A123" s="40" t="s">
        <v>36</v>
      </c>
      <c r="B123" s="43">
        <v>228484.74815439468</v>
      </c>
      <c r="C123" s="40">
        <v>246490.1536574465</v>
      </c>
      <c r="D123" s="43">
        <v>1410872.4522816066</v>
      </c>
      <c r="E123" s="43">
        <v>46287.39072312422</v>
      </c>
      <c r="F123" s="43">
        <v>295709.88747534156</v>
      </c>
      <c r="G123" s="43"/>
      <c r="H123" s="43">
        <v>59007.721212121214</v>
      </c>
      <c r="I123" s="43">
        <v>1069466.0612095713</v>
      </c>
      <c r="J123" s="43">
        <v>27595.83939393939</v>
      </c>
      <c r="K123" s="40">
        <v>1444119.2883068374</v>
      </c>
      <c r="L123" s="40"/>
      <c r="M123" s="43">
        <f t="shared" si="20"/>
        <v>4828033.542</v>
      </c>
      <c r="N123" s="44">
        <f t="shared" si="21"/>
        <v>0.05635280024</v>
      </c>
      <c r="P123" s="15"/>
    </row>
    <row r="124" ht="15.0" customHeight="1">
      <c r="A124" s="42" t="s">
        <v>38</v>
      </c>
      <c r="B124" s="43">
        <f t="shared" ref="B124:N124" si="22">SUM(B107:B123)</f>
        <v>6484446.982</v>
      </c>
      <c r="C124" s="43">
        <f t="shared" si="22"/>
        <v>4146731.871</v>
      </c>
      <c r="D124" s="43">
        <f t="shared" si="22"/>
        <v>23846261.01</v>
      </c>
      <c r="E124" s="43">
        <f t="shared" si="22"/>
        <v>1262554.421</v>
      </c>
      <c r="F124" s="43">
        <f t="shared" si="22"/>
        <v>5861002.708</v>
      </c>
      <c r="G124" s="43">
        <f t="shared" si="22"/>
        <v>0</v>
      </c>
      <c r="H124" s="43">
        <f t="shared" si="22"/>
        <v>973627.4</v>
      </c>
      <c r="I124" s="43">
        <f t="shared" si="22"/>
        <v>18079754.2</v>
      </c>
      <c r="J124" s="43">
        <f t="shared" si="22"/>
        <v>455331.35</v>
      </c>
      <c r="K124" s="43">
        <f t="shared" si="22"/>
        <v>24565421.05</v>
      </c>
      <c r="L124" s="43">
        <f t="shared" si="22"/>
        <v>0</v>
      </c>
      <c r="M124" s="43">
        <f t="shared" si="22"/>
        <v>85675130.99</v>
      </c>
      <c r="N124" s="44">
        <f t="shared" si="22"/>
        <v>1</v>
      </c>
    </row>
    <row r="127" ht="15.0" customHeight="1">
      <c r="A127" s="42" t="s">
        <v>3</v>
      </c>
      <c r="B127" s="40" t="s">
        <v>239</v>
      </c>
      <c r="C127" s="40" t="s">
        <v>241</v>
      </c>
      <c r="D127" s="40" t="s">
        <v>242</v>
      </c>
      <c r="E127" s="40" t="s">
        <v>244</v>
      </c>
      <c r="F127" s="40" t="s">
        <v>81</v>
      </c>
      <c r="G127" s="40" t="s">
        <v>246</v>
      </c>
      <c r="H127" s="40" t="s">
        <v>247</v>
      </c>
      <c r="I127" s="40" t="s">
        <v>248</v>
      </c>
      <c r="J127" s="41" t="s">
        <v>250</v>
      </c>
      <c r="K127" s="41" t="s">
        <v>252</v>
      </c>
      <c r="L127" s="40" t="s">
        <v>121</v>
      </c>
      <c r="M127" s="42" t="s">
        <v>4</v>
      </c>
      <c r="N127" s="59" t="s">
        <v>15</v>
      </c>
    </row>
    <row r="128" ht="15.0" customHeight="1">
      <c r="A128" s="40" t="s">
        <v>5</v>
      </c>
      <c r="B128" s="43">
        <v>201932.05970616822</v>
      </c>
      <c r="C128" s="40">
        <v>744092.7261150612</v>
      </c>
      <c r="D128" s="43">
        <v>1223769.845356048</v>
      </c>
      <c r="E128" s="43">
        <v>334441.07289321127</v>
      </c>
      <c r="F128" s="43"/>
      <c r="G128" s="43"/>
      <c r="H128" s="43">
        <v>30283.500633713564</v>
      </c>
      <c r="I128" s="43">
        <v>406752.8474801875</v>
      </c>
      <c r="J128" s="43">
        <v>56955.3960709759</v>
      </c>
      <c r="K128" s="40">
        <v>1963619.8681220121</v>
      </c>
      <c r="L128" s="40"/>
      <c r="M128" s="43">
        <f t="shared" ref="M128:M144" si="23">SUM(B128:K128)</f>
        <v>4961847.316</v>
      </c>
      <c r="N128" s="60">
        <f>'2023'!$M128/SUM(M$128:M$144)</f>
        <v>0.05995685159</v>
      </c>
    </row>
    <row r="129" ht="15.0" customHeight="1">
      <c r="A129" s="40" t="s">
        <v>18</v>
      </c>
      <c r="B129" s="43">
        <v>201932.05970616822</v>
      </c>
      <c r="C129" s="40">
        <v>744092.7261150612</v>
      </c>
      <c r="D129" s="43">
        <v>1223769.845356048</v>
      </c>
      <c r="E129" s="43">
        <v>334441.07289321127</v>
      </c>
      <c r="F129" s="43"/>
      <c r="G129" s="43"/>
      <c r="H129" s="43">
        <v>30283.500633713564</v>
      </c>
      <c r="I129" s="43">
        <v>406752.8474801875</v>
      </c>
      <c r="J129" s="43">
        <v>56955.3960709759</v>
      </c>
      <c r="K129" s="40">
        <v>1963620.5072645717</v>
      </c>
      <c r="L129" s="40"/>
      <c r="M129" s="43">
        <f t="shared" si="23"/>
        <v>4961847.956</v>
      </c>
      <c r="N129" s="60">
        <f>'2023'!$M129/SUM(M$128:M$144)</f>
        <v>0.05995685932</v>
      </c>
    </row>
    <row r="130" ht="15.0" customHeight="1">
      <c r="A130" s="40" t="s">
        <v>20</v>
      </c>
      <c r="B130" s="43">
        <v>201932.05970616822</v>
      </c>
      <c r="C130" s="40">
        <v>744092.7261150612</v>
      </c>
      <c r="D130" s="43">
        <v>1223769.845356048</v>
      </c>
      <c r="E130" s="43">
        <v>334441.07289321127</v>
      </c>
      <c r="F130" s="43"/>
      <c r="G130" s="43"/>
      <c r="H130" s="43">
        <v>30283.500633713564</v>
      </c>
      <c r="I130" s="43">
        <v>406752.8474801875</v>
      </c>
      <c r="J130" s="43">
        <v>56955.3960709759</v>
      </c>
      <c r="K130" s="40">
        <v>1963620.5072645717</v>
      </c>
      <c r="L130" s="40"/>
      <c r="M130" s="43">
        <f t="shared" si="23"/>
        <v>4961847.956</v>
      </c>
      <c r="N130" s="60">
        <f>'2023'!$M130/SUM(M$128:M$144)</f>
        <v>0.05995685932</v>
      </c>
    </row>
    <row r="131" ht="15.0" customHeight="1">
      <c r="A131" s="40" t="s">
        <v>22</v>
      </c>
      <c r="B131" s="43">
        <v>204051.11196396576</v>
      </c>
      <c r="C131" s="40">
        <v>743199.2388710757</v>
      </c>
      <c r="D131" s="43">
        <v>1222085.161852276</v>
      </c>
      <c r="E131" s="43">
        <v>338265.83747271367</v>
      </c>
      <c r="F131" s="43"/>
      <c r="G131" s="43"/>
      <c r="H131" s="43">
        <v>30283.500633713564</v>
      </c>
      <c r="I131" s="43">
        <v>406752.8474801875</v>
      </c>
      <c r="J131" s="43">
        <v>56955.3960709759</v>
      </c>
      <c r="K131" s="40">
        <v>1963619.8681220121</v>
      </c>
      <c r="L131" s="40"/>
      <c r="M131" s="43">
        <f t="shared" si="23"/>
        <v>4965212.962</v>
      </c>
      <c r="N131" s="60">
        <f>'2023'!$M131/SUM(M$128:M$144)</f>
        <v>0.05999752063</v>
      </c>
    </row>
    <row r="132" ht="15.0" customHeight="1">
      <c r="A132" s="40" t="s">
        <v>23</v>
      </c>
      <c r="B132" s="43">
        <v>201932.05970616822</v>
      </c>
      <c r="C132" s="40">
        <v>744092.7261150612</v>
      </c>
      <c r="D132" s="43">
        <v>1223769.845356048</v>
      </c>
      <c r="E132" s="43">
        <v>334441.07289321127</v>
      </c>
      <c r="F132" s="43"/>
      <c r="G132" s="43"/>
      <c r="H132" s="43">
        <v>30283.500633713564</v>
      </c>
      <c r="I132" s="43">
        <v>406752.8474801875</v>
      </c>
      <c r="J132" s="43">
        <v>56955.3960709759</v>
      </c>
      <c r="K132" s="40">
        <v>1963620.5072645717</v>
      </c>
      <c r="L132" s="40"/>
      <c r="M132" s="43">
        <f t="shared" si="23"/>
        <v>4961847.956</v>
      </c>
      <c r="N132" s="60">
        <f>'2023'!$M132/SUM(M$128:M$144)</f>
        <v>0.05995685932</v>
      </c>
    </row>
    <row r="133" ht="15.0" customHeight="1">
      <c r="A133" s="40" t="s">
        <v>24</v>
      </c>
      <c r="B133" s="43">
        <v>201932.05970616822</v>
      </c>
      <c r="C133" s="40">
        <v>744092.7261150612</v>
      </c>
      <c r="D133" s="43">
        <v>1223769.845356048</v>
      </c>
      <c r="E133" s="43">
        <v>334441.07289321127</v>
      </c>
      <c r="F133" s="43"/>
      <c r="G133" s="43"/>
      <c r="H133" s="43">
        <v>22106.955462610902</v>
      </c>
      <c r="I133" s="43">
        <v>399697.5752312793</v>
      </c>
      <c r="J133" s="43">
        <v>41577.4391318124</v>
      </c>
      <c r="K133" s="40">
        <v>1882763.392862923</v>
      </c>
      <c r="L133" s="40"/>
      <c r="M133" s="43">
        <f t="shared" si="23"/>
        <v>4850381.067</v>
      </c>
      <c r="N133" s="60">
        <f>'2023'!$M133/SUM(M$128:M$144)</f>
        <v>0.05860994086</v>
      </c>
    </row>
    <row r="134" ht="15.0" customHeight="1">
      <c r="A134" s="40" t="s">
        <v>25</v>
      </c>
      <c r="B134" s="43">
        <v>201932.05970616822</v>
      </c>
      <c r="C134" s="40">
        <v>744092.7261150612</v>
      </c>
      <c r="D134" s="43">
        <v>1223769.845356048</v>
      </c>
      <c r="E134" s="43">
        <v>334441.07289321127</v>
      </c>
      <c r="F134" s="43"/>
      <c r="G134" s="43"/>
      <c r="H134" s="43">
        <v>30283.500633713564</v>
      </c>
      <c r="I134" s="43">
        <v>406752.8474801875</v>
      </c>
      <c r="J134" s="43">
        <v>56955.3960709759</v>
      </c>
      <c r="K134" s="40">
        <v>1963620.5072645717</v>
      </c>
      <c r="L134" s="40"/>
      <c r="M134" s="43">
        <f t="shared" si="23"/>
        <v>4961847.956</v>
      </c>
      <c r="N134" s="60">
        <f>'2023'!$M134/SUM(M$128:M$144)</f>
        <v>0.05995685932</v>
      </c>
    </row>
    <row r="135" ht="15.0" customHeight="1">
      <c r="A135" s="40" t="s">
        <v>26</v>
      </c>
      <c r="B135" s="43">
        <v>201932.05970616822</v>
      </c>
      <c r="C135" s="40">
        <v>744092.7261150612</v>
      </c>
      <c r="D135" s="43">
        <v>1223769.845356048</v>
      </c>
      <c r="E135" s="43">
        <v>334441.07289321127</v>
      </c>
      <c r="F135" s="43"/>
      <c r="G135" s="43"/>
      <c r="H135" s="43">
        <v>30283.500633713564</v>
      </c>
      <c r="I135" s="43">
        <v>406752.8474801875</v>
      </c>
      <c r="J135" s="43">
        <v>56955.3960709759</v>
      </c>
      <c r="K135" s="40">
        <v>1963620.5072645717</v>
      </c>
      <c r="L135" s="40"/>
      <c r="M135" s="43">
        <f t="shared" si="23"/>
        <v>4961847.956</v>
      </c>
      <c r="N135" s="60">
        <f>'2023'!$M135/SUM(M$128:M$144)</f>
        <v>0.05995685932</v>
      </c>
    </row>
    <row r="136" ht="15.0" customHeight="1">
      <c r="A136" s="40" t="s">
        <v>27</v>
      </c>
      <c r="B136" s="43">
        <v>201932.05970616822</v>
      </c>
      <c r="C136" s="40">
        <v>744092.7261150612</v>
      </c>
      <c r="D136" s="43">
        <v>1223769.845356048</v>
      </c>
      <c r="E136" s="43">
        <v>334441.07289321127</v>
      </c>
      <c r="F136" s="43"/>
      <c r="G136" s="43"/>
      <c r="H136" s="43">
        <v>30283.500633713564</v>
      </c>
      <c r="I136" s="43">
        <v>406752.8474801875</v>
      </c>
      <c r="J136" s="43">
        <v>56955.3960709759</v>
      </c>
      <c r="K136" s="40">
        <v>1963620.5072645717</v>
      </c>
      <c r="L136" s="40"/>
      <c r="M136" s="43">
        <f t="shared" si="23"/>
        <v>4961847.956</v>
      </c>
      <c r="N136" s="60">
        <f>'2023'!$M136/SUM(M$128:M$144)</f>
        <v>0.05995685932</v>
      </c>
    </row>
    <row r="137" ht="15.0" customHeight="1">
      <c r="A137" s="40" t="s">
        <v>28</v>
      </c>
      <c r="B137" s="43">
        <v>161185.46428571438</v>
      </c>
      <c r="C137" s="40">
        <v>571033.856746998</v>
      </c>
      <c r="D137" s="43">
        <v>1177572.8318107484</v>
      </c>
      <c r="E137" s="43">
        <v>179479.00914961615</v>
      </c>
      <c r="F137" s="43"/>
      <c r="G137" s="43"/>
      <c r="H137" s="43">
        <v>7570.875158428391</v>
      </c>
      <c r="I137" s="43">
        <v>228563.4301576938</v>
      </c>
      <c r="J137" s="43">
        <v>14238.849017743974</v>
      </c>
      <c r="K137" s="40">
        <v>1215063.7435547712</v>
      </c>
      <c r="L137" s="40"/>
      <c r="M137" s="43">
        <f t="shared" si="23"/>
        <v>3554708.06</v>
      </c>
      <c r="N137" s="60">
        <f>'2023'!$M137/SUM(M$128:M$144)</f>
        <v>0.04295357959</v>
      </c>
    </row>
    <row r="138" ht="15.0" customHeight="1">
      <c r="A138" s="40" t="s">
        <v>29</v>
      </c>
      <c r="B138" s="43">
        <v>201932.05970616822</v>
      </c>
      <c r="C138" s="40">
        <v>744092.7261150612</v>
      </c>
      <c r="D138" s="43">
        <v>1223769.845356048</v>
      </c>
      <c r="E138" s="43">
        <v>334441.07289321127</v>
      </c>
      <c r="F138" s="43"/>
      <c r="G138" s="43"/>
      <c r="H138" s="43">
        <v>30283.500633713564</v>
      </c>
      <c r="I138" s="43">
        <v>406752.8474801875</v>
      </c>
      <c r="J138" s="43">
        <v>56955.3960709759</v>
      </c>
      <c r="K138" s="40">
        <v>1963620.5072645717</v>
      </c>
      <c r="L138" s="40"/>
      <c r="M138" s="43">
        <f t="shared" si="23"/>
        <v>4961847.956</v>
      </c>
      <c r="N138" s="60">
        <f>'2023'!$M138/SUM(M$128:M$144)</f>
        <v>0.05995685932</v>
      </c>
    </row>
    <row r="139" ht="15.0" customHeight="1">
      <c r="A139" s="40" t="s">
        <v>30</v>
      </c>
      <c r="B139" s="43">
        <v>201932.05970616822</v>
      </c>
      <c r="C139" s="40">
        <v>744092.7261150612</v>
      </c>
      <c r="D139" s="43">
        <v>1223769.845356048</v>
      </c>
      <c r="E139" s="43">
        <v>334441.07289321127</v>
      </c>
      <c r="F139" s="43"/>
      <c r="G139" s="43"/>
      <c r="H139" s="43">
        <v>30283.500633713564</v>
      </c>
      <c r="I139" s="43">
        <v>406752.8474801875</v>
      </c>
      <c r="J139" s="43">
        <v>56955.3960709759</v>
      </c>
      <c r="K139" s="40">
        <v>1963620.5072645717</v>
      </c>
      <c r="L139" s="40"/>
      <c r="M139" s="43">
        <f t="shared" si="23"/>
        <v>4961847.956</v>
      </c>
      <c r="N139" s="60">
        <f>'2023'!$M139/SUM(M$128:M$144)</f>
        <v>0.05995685932</v>
      </c>
    </row>
    <row r="140" ht="15.0" customHeight="1">
      <c r="A140" s="40" t="s">
        <v>31</v>
      </c>
      <c r="B140" s="43">
        <v>201932.05970616822</v>
      </c>
      <c r="C140" s="40">
        <v>744092.7261150612</v>
      </c>
      <c r="D140" s="43">
        <v>1223769.845356048</v>
      </c>
      <c r="E140" s="43">
        <v>334441.07289321127</v>
      </c>
      <c r="F140" s="43"/>
      <c r="G140" s="43"/>
      <c r="H140" s="43">
        <v>30283.500633713564</v>
      </c>
      <c r="I140" s="43">
        <v>406752.8474801875</v>
      </c>
      <c r="J140" s="43">
        <v>56955.3960709759</v>
      </c>
      <c r="K140" s="40">
        <v>1963620.5072645717</v>
      </c>
      <c r="L140" s="40"/>
      <c r="M140" s="43">
        <f t="shared" si="23"/>
        <v>4961847.956</v>
      </c>
      <c r="N140" s="60">
        <f>'2023'!$M140/SUM(M$128:M$144)</f>
        <v>0.05995685932</v>
      </c>
    </row>
    <row r="141" ht="15.0" customHeight="1">
      <c r="A141" s="40" t="s">
        <v>32</v>
      </c>
      <c r="B141" s="43">
        <v>201932.05970616822</v>
      </c>
      <c r="C141" s="40">
        <v>744092.7261150612</v>
      </c>
      <c r="D141" s="43">
        <v>1223769.845356048</v>
      </c>
      <c r="E141" s="43">
        <v>334441.07289321127</v>
      </c>
      <c r="F141" s="43"/>
      <c r="G141" s="43"/>
      <c r="H141" s="43">
        <v>30283.500633713564</v>
      </c>
      <c r="I141" s="43">
        <v>406752.8474801875</v>
      </c>
      <c r="J141" s="43">
        <v>56955.3960709759</v>
      </c>
      <c r="K141" s="40">
        <v>1963620.5072645717</v>
      </c>
      <c r="L141" s="40"/>
      <c r="M141" s="43">
        <f t="shared" si="23"/>
        <v>4961847.956</v>
      </c>
      <c r="N141" s="60">
        <f>'2023'!$M141/SUM(M$128:M$144)</f>
        <v>0.05995685932</v>
      </c>
    </row>
    <row r="142" ht="15.0" customHeight="1">
      <c r="A142" s="40" t="s">
        <v>34</v>
      </c>
      <c r="B142" s="43">
        <v>201932.05970616822</v>
      </c>
      <c r="C142" s="40">
        <v>744092.7261150612</v>
      </c>
      <c r="D142" s="43">
        <v>1223769.845356048</v>
      </c>
      <c r="E142" s="43">
        <v>334441.07289321127</v>
      </c>
      <c r="F142" s="43"/>
      <c r="G142" s="43"/>
      <c r="H142" s="43">
        <v>30283.500633713564</v>
      </c>
      <c r="I142" s="43">
        <v>406752.8474801875</v>
      </c>
      <c r="J142" s="43">
        <v>56955.3960709759</v>
      </c>
      <c r="K142" s="40">
        <v>1963619.8681220121</v>
      </c>
      <c r="L142" s="40"/>
      <c r="M142" s="43">
        <f t="shared" si="23"/>
        <v>4961847.316</v>
      </c>
      <c r="N142" s="60">
        <f>'2023'!$M142/SUM(M$128:M$144)</f>
        <v>0.05995685159</v>
      </c>
    </row>
    <row r="143" ht="15.0" customHeight="1">
      <c r="A143" s="40" t="s">
        <v>35</v>
      </c>
      <c r="B143" s="43">
        <v>201932.05970616822</v>
      </c>
      <c r="C143" s="40">
        <v>744092.7261150612</v>
      </c>
      <c r="D143" s="43">
        <v>1223769.845356048</v>
      </c>
      <c r="E143" s="43">
        <v>334441.07289321127</v>
      </c>
      <c r="F143" s="43"/>
      <c r="G143" s="43"/>
      <c r="H143" s="43">
        <v>24226.800506970852</v>
      </c>
      <c r="I143" s="43">
        <v>401526.71988840366</v>
      </c>
      <c r="J143" s="43">
        <v>45564.316856780715</v>
      </c>
      <c r="K143" s="40">
        <v>1903726.3484485357</v>
      </c>
      <c r="L143" s="40"/>
      <c r="M143" s="43">
        <f t="shared" si="23"/>
        <v>4879279.89</v>
      </c>
      <c r="N143" s="60">
        <f>'2023'!$M143/SUM(M$128:M$144)</f>
        <v>0.05895914194</v>
      </c>
    </row>
    <row r="144" ht="15.0" customHeight="1">
      <c r="A144" s="40" t="s">
        <v>36</v>
      </c>
      <c r="B144" s="43">
        <v>204051.11196396576</v>
      </c>
      <c r="C144" s="40">
        <v>743199.2388710757</v>
      </c>
      <c r="D144" s="43">
        <v>1222085.161852276</v>
      </c>
      <c r="E144" s="43">
        <v>338265.83747271367</v>
      </c>
      <c r="F144" s="43"/>
      <c r="G144" s="43"/>
      <c r="H144" s="43">
        <v>30283.500633713564</v>
      </c>
      <c r="I144" s="43">
        <v>406752.8474801875</v>
      </c>
      <c r="J144" s="43">
        <v>56955.3960709759</v>
      </c>
      <c r="K144" s="40">
        <v>1963619.8681220121</v>
      </c>
      <c r="L144" s="40"/>
      <c r="M144" s="43">
        <f t="shared" si="23"/>
        <v>4965212.962</v>
      </c>
      <c r="N144" s="60">
        <f>'2023'!$M144/SUM(M$128:M$144)</f>
        <v>0.05999752063</v>
      </c>
    </row>
    <row r="145" ht="15.0" customHeight="1">
      <c r="A145" s="42" t="s">
        <v>38</v>
      </c>
      <c r="B145" s="43">
        <f t="shared" ref="B145:M145" si="24">SUM(B128:B144)</f>
        <v>3396336.524</v>
      </c>
      <c r="C145" s="43">
        <f t="shared" si="24"/>
        <v>12474730.5</v>
      </c>
      <c r="D145" s="43">
        <f t="shared" si="24"/>
        <v>20754520.99</v>
      </c>
      <c r="E145" s="43">
        <f t="shared" si="24"/>
        <v>5538185.705</v>
      </c>
      <c r="F145" s="43">
        <f t="shared" si="24"/>
        <v>0</v>
      </c>
      <c r="G145" s="43">
        <f t="shared" si="24"/>
        <v>0</v>
      </c>
      <c r="H145" s="43">
        <f t="shared" si="24"/>
        <v>477873.64</v>
      </c>
      <c r="I145" s="43">
        <f t="shared" si="24"/>
        <v>6724327.59</v>
      </c>
      <c r="J145" s="43">
        <f t="shared" si="24"/>
        <v>898756.15</v>
      </c>
      <c r="K145" s="43">
        <f t="shared" si="24"/>
        <v>32492238.03</v>
      </c>
      <c r="L145" s="43">
        <f t="shared" si="24"/>
        <v>0</v>
      </c>
      <c r="M145" s="43">
        <f t="shared" si="24"/>
        <v>82756969.13</v>
      </c>
      <c r="N145" s="43">
        <f>'2023'!$M145/SUM(M$128:M$144)</f>
        <v>1</v>
      </c>
    </row>
    <row r="148" ht="15.0" customHeight="1">
      <c r="A148" s="42" t="s">
        <v>3</v>
      </c>
      <c r="B148" s="40" t="s">
        <v>273</v>
      </c>
      <c r="C148" s="40" t="s">
        <v>274</v>
      </c>
      <c r="D148" s="40" t="s">
        <v>275</v>
      </c>
      <c r="E148" s="40" t="s">
        <v>276</v>
      </c>
      <c r="F148" s="40" t="s">
        <v>277</v>
      </c>
      <c r="G148" s="40" t="s">
        <v>278</v>
      </c>
      <c r="H148" s="40" t="s">
        <v>279</v>
      </c>
      <c r="I148" s="40" t="s">
        <v>281</v>
      </c>
      <c r="J148" s="41" t="s">
        <v>284</v>
      </c>
      <c r="K148" s="41" t="s">
        <v>272</v>
      </c>
      <c r="L148" s="40" t="s">
        <v>121</v>
      </c>
      <c r="M148" s="42" t="s">
        <v>4</v>
      </c>
      <c r="N148" s="59" t="s">
        <v>15</v>
      </c>
      <c r="O148" s="59" t="s">
        <v>16</v>
      </c>
      <c r="P148" s="59" t="s">
        <v>17</v>
      </c>
    </row>
    <row r="149" ht="15.0" customHeight="1">
      <c r="A149" s="40" t="s">
        <v>5</v>
      </c>
      <c r="B149" s="62">
        <v>214461.44138744095</v>
      </c>
      <c r="C149" s="62">
        <v>268195.45825855114</v>
      </c>
      <c r="D149" s="62">
        <v>791421.3509387288</v>
      </c>
      <c r="E149" s="62">
        <v>1294922.326852898</v>
      </c>
      <c r="F149" s="62">
        <v>81986.4827090909</v>
      </c>
      <c r="G149" s="62">
        <v>4741233.569</v>
      </c>
      <c r="H149" s="62">
        <v>49453.46986469864</v>
      </c>
      <c r="I149" s="62">
        <v>1422419.0626780412</v>
      </c>
      <c r="J149" s="62">
        <v>113303.11254612547</v>
      </c>
      <c r="K149" s="62">
        <v>866775.1305930547</v>
      </c>
      <c r="L149" s="40"/>
      <c r="M149" s="43">
        <f t="shared" ref="M149:M165" si="25">SUM(B149:K149)</f>
        <v>9844171.405</v>
      </c>
      <c r="N149" s="60">
        <f>'2023'!$M149/SUM(M$149:M$165)</f>
        <v>0.06160306255</v>
      </c>
      <c r="O149" s="60">
        <f t="shared" ref="O149:O166" si="26">N149/$N$153</f>
        <v>0.9919388926</v>
      </c>
      <c r="P149" s="42" t="s">
        <v>5</v>
      </c>
    </row>
    <row r="150" ht="15.0" customHeight="1">
      <c r="A150" s="40" t="s">
        <v>18</v>
      </c>
      <c r="B150" s="62">
        <v>214461.43488790444</v>
      </c>
      <c r="C150" s="62">
        <v>268195.45825855114</v>
      </c>
      <c r="D150" s="62">
        <v>791421.3475796274</v>
      </c>
      <c r="E150" s="62">
        <v>1374922.1463919084</v>
      </c>
      <c r="F150" s="62">
        <v>81986.4827090909</v>
      </c>
      <c r="G150" s="62">
        <v>4741233.569</v>
      </c>
      <c r="H150" s="62">
        <v>49453.46986469864</v>
      </c>
      <c r="I150" s="62">
        <v>1422419.0626780412</v>
      </c>
      <c r="J150" s="62">
        <v>113303.11254612547</v>
      </c>
      <c r="K150" s="62">
        <v>866775.1305930547</v>
      </c>
      <c r="L150" s="40"/>
      <c r="M150" s="43">
        <f t="shared" si="25"/>
        <v>9924171.215</v>
      </c>
      <c r="N150" s="60">
        <f>'2023'!$M150/SUM(M$149:M$165)</f>
        <v>0.06210368704</v>
      </c>
      <c r="O150" s="60">
        <f t="shared" si="26"/>
        <v>1</v>
      </c>
      <c r="P150" s="42" t="s">
        <v>18</v>
      </c>
    </row>
    <row r="151" ht="15.0" customHeight="1">
      <c r="A151" s="40" t="s">
        <v>20</v>
      </c>
      <c r="B151" s="62">
        <v>214461.43488790444</v>
      </c>
      <c r="C151" s="62">
        <v>268195.45825855114</v>
      </c>
      <c r="D151" s="62">
        <v>791421.3475796274</v>
      </c>
      <c r="E151" s="62">
        <v>1374922.1463919084</v>
      </c>
      <c r="F151" s="62">
        <v>81986.4827090909</v>
      </c>
      <c r="G151" s="62">
        <v>4741233.569</v>
      </c>
      <c r="H151" s="62">
        <v>49453.46986469864</v>
      </c>
      <c r="I151" s="62">
        <v>1422419.0626780412</v>
      </c>
      <c r="J151" s="62">
        <v>113303.11254612547</v>
      </c>
      <c r="K151" s="62">
        <v>866775.1305930547</v>
      </c>
      <c r="L151" s="40"/>
      <c r="M151" s="43">
        <f t="shared" si="25"/>
        <v>9924171.215</v>
      </c>
      <c r="N151" s="60">
        <f>'2023'!$M151/SUM(M$149:M$165)</f>
        <v>0.06210368704</v>
      </c>
      <c r="O151" s="60">
        <f t="shared" si="26"/>
        <v>1</v>
      </c>
      <c r="P151" s="42" t="s">
        <v>20</v>
      </c>
    </row>
    <row r="152" ht="15.0" customHeight="1">
      <c r="A152" s="40" t="s">
        <v>22</v>
      </c>
      <c r="B152" s="62">
        <v>214427.21562795417</v>
      </c>
      <c r="C152" s="62">
        <v>268195.45825855114</v>
      </c>
      <c r="D152" s="62">
        <v>787950.9069435532</v>
      </c>
      <c r="E152" s="62">
        <v>1294864.5142473162</v>
      </c>
      <c r="F152" s="62">
        <v>81986.4827090909</v>
      </c>
      <c r="G152" s="62">
        <v>2222453.235</v>
      </c>
      <c r="H152" s="62">
        <v>49453.46986469864</v>
      </c>
      <c r="I152" s="62">
        <v>1422419.0626780412</v>
      </c>
      <c r="J152" s="62">
        <v>113303.11254612547</v>
      </c>
      <c r="K152" s="62">
        <v>866775.1305930547</v>
      </c>
      <c r="L152" s="40"/>
      <c r="M152" s="43">
        <f t="shared" si="25"/>
        <v>7321828.588</v>
      </c>
      <c r="N152" s="60">
        <f>'2023'!$M152/SUM(M$149:M$165)</f>
        <v>0.0458186927</v>
      </c>
      <c r="O152" s="60">
        <f t="shared" si="26"/>
        <v>0.7377773348</v>
      </c>
      <c r="P152" s="42" t="s">
        <v>22</v>
      </c>
    </row>
    <row r="153" ht="15.0" customHeight="1">
      <c r="A153" s="40" t="s">
        <v>23</v>
      </c>
      <c r="B153" s="62">
        <v>214461.43488790444</v>
      </c>
      <c r="C153" s="62">
        <v>268195.45825855114</v>
      </c>
      <c r="D153" s="62">
        <v>791421.3475796274</v>
      </c>
      <c r="E153" s="62">
        <v>1374922.1463919084</v>
      </c>
      <c r="F153" s="62">
        <v>81986.4827090909</v>
      </c>
      <c r="G153" s="62">
        <v>4741233.569</v>
      </c>
      <c r="H153" s="62">
        <v>49453.46986469864</v>
      </c>
      <c r="I153" s="62">
        <v>1422419.0626780412</v>
      </c>
      <c r="J153" s="62">
        <v>113303.11254612547</v>
      </c>
      <c r="K153" s="62">
        <v>866775.1305930547</v>
      </c>
      <c r="L153" s="40"/>
      <c r="M153" s="43">
        <f t="shared" si="25"/>
        <v>9924171.215</v>
      </c>
      <c r="N153" s="60">
        <f>'2023'!$M153/SUM(M$149:M$165)</f>
        <v>0.06210368704</v>
      </c>
      <c r="O153" s="60">
        <f t="shared" si="26"/>
        <v>1</v>
      </c>
      <c r="P153" s="42" t="s">
        <v>23</v>
      </c>
    </row>
    <row r="154" ht="15.0" customHeight="1">
      <c r="A154" s="40" t="s">
        <v>24</v>
      </c>
      <c r="B154" s="62">
        <v>192929.0106972227</v>
      </c>
      <c r="C154" s="62">
        <v>242891.72797713245</v>
      </c>
      <c r="D154" s="62">
        <v>775560.3350047277</v>
      </c>
      <c r="E154" s="62">
        <v>1274443.937896896</v>
      </c>
      <c r="F154" s="62">
        <v>81986.4827090909</v>
      </c>
      <c r="G154" s="62">
        <v>4741233.569</v>
      </c>
      <c r="H154" s="62">
        <v>36101.03300123001</v>
      </c>
      <c r="I154" s="62">
        <v>1235221.9855367958</v>
      </c>
      <c r="J154" s="62">
        <v>82711.27215867159</v>
      </c>
      <c r="K154" s="62">
        <v>685889.3252677466</v>
      </c>
      <c r="L154" s="40"/>
      <c r="M154" s="43">
        <f t="shared" si="25"/>
        <v>9348968.679</v>
      </c>
      <c r="N154" s="60">
        <f>'2023'!$M154/SUM(M$149:M$165)</f>
        <v>0.05850417253</v>
      </c>
      <c r="O154" s="63">
        <f t="shared" si="26"/>
        <v>0.9420402447</v>
      </c>
      <c r="P154" s="64" t="s">
        <v>24</v>
      </c>
    </row>
    <row r="155" ht="15.0" customHeight="1">
      <c r="A155" s="40" t="s">
        <v>25</v>
      </c>
      <c r="B155" s="62">
        <v>214461.43488790444</v>
      </c>
      <c r="C155" s="62">
        <v>268195.45825855114</v>
      </c>
      <c r="D155" s="62">
        <v>791421.3475796274</v>
      </c>
      <c r="E155" s="62">
        <v>1374922.1463919084</v>
      </c>
      <c r="F155" s="62">
        <v>81986.4827090909</v>
      </c>
      <c r="G155" s="62">
        <v>4741233.569</v>
      </c>
      <c r="H155" s="62">
        <v>49453.46986469864</v>
      </c>
      <c r="I155" s="62">
        <v>1422419.0626780412</v>
      </c>
      <c r="J155" s="62">
        <v>113303.11254612547</v>
      </c>
      <c r="K155" s="62">
        <v>866775.1305930547</v>
      </c>
      <c r="L155" s="40"/>
      <c r="M155" s="43">
        <f t="shared" si="25"/>
        <v>9924171.215</v>
      </c>
      <c r="N155" s="60">
        <f>'2023'!$M155/SUM(M$149:M$165)</f>
        <v>0.06210368704</v>
      </c>
      <c r="O155" s="60">
        <f t="shared" si="26"/>
        <v>1</v>
      </c>
      <c r="P155" s="42" t="s">
        <v>25</v>
      </c>
    </row>
    <row r="156" ht="15.0" customHeight="1">
      <c r="A156" s="40" t="s">
        <v>26</v>
      </c>
      <c r="B156" s="62">
        <v>214461.43488790444</v>
      </c>
      <c r="C156" s="62">
        <v>268195.45825855114</v>
      </c>
      <c r="D156" s="62">
        <v>791421.3475796274</v>
      </c>
      <c r="E156" s="62">
        <v>1374922.1463919084</v>
      </c>
      <c r="F156" s="62">
        <v>81986.4827090909</v>
      </c>
      <c r="G156" s="62">
        <v>4741233.569</v>
      </c>
      <c r="H156" s="62">
        <v>49453.46986469864</v>
      </c>
      <c r="I156" s="62">
        <v>1422419.0626780412</v>
      </c>
      <c r="J156" s="62">
        <v>113303.11254612547</v>
      </c>
      <c r="K156" s="62">
        <v>866775.1305930547</v>
      </c>
      <c r="L156" s="40"/>
      <c r="M156" s="43">
        <f t="shared" si="25"/>
        <v>9924171.215</v>
      </c>
      <c r="N156" s="60">
        <f>'2023'!$M156/SUM(M$149:M$165)</f>
        <v>0.06210368704</v>
      </c>
      <c r="O156" s="60">
        <f t="shared" si="26"/>
        <v>1</v>
      </c>
      <c r="P156" s="42" t="s">
        <v>26</v>
      </c>
    </row>
    <row r="157" ht="15.0" customHeight="1">
      <c r="A157" s="40" t="s">
        <v>27</v>
      </c>
      <c r="B157" s="62">
        <v>214461.43488790444</v>
      </c>
      <c r="C157" s="62">
        <v>268195.45825855114</v>
      </c>
      <c r="D157" s="62">
        <v>791421.3475796274</v>
      </c>
      <c r="E157" s="62">
        <v>1374922.1463919084</v>
      </c>
      <c r="F157" s="62">
        <v>81986.4827090909</v>
      </c>
      <c r="G157" s="62">
        <v>4741233.569</v>
      </c>
      <c r="H157" s="62">
        <v>49453.46986469864</v>
      </c>
      <c r="I157" s="62">
        <v>1422419.0626780412</v>
      </c>
      <c r="J157" s="62">
        <v>113303.11254612547</v>
      </c>
      <c r="K157" s="62">
        <v>866775.1305930547</v>
      </c>
      <c r="L157" s="40"/>
      <c r="M157" s="43">
        <f t="shared" si="25"/>
        <v>9924171.215</v>
      </c>
      <c r="N157" s="60">
        <f>'2023'!$M157/SUM(M$149:M$165)</f>
        <v>0.06210368704</v>
      </c>
      <c r="O157" s="60">
        <f t="shared" si="26"/>
        <v>1</v>
      </c>
      <c r="P157" s="42" t="s">
        <v>27</v>
      </c>
    </row>
    <row r="158" ht="15.0" customHeight="1">
      <c r="A158" s="40" t="s">
        <v>28</v>
      </c>
      <c r="B158" s="62">
        <v>97692.06635495422</v>
      </c>
      <c r="C158" s="62">
        <v>128728.60865676384</v>
      </c>
      <c r="D158" s="62">
        <v>640849.1565584254</v>
      </c>
      <c r="E158" s="62">
        <v>669509.069780591</v>
      </c>
      <c r="F158" s="62">
        <v>40993.24135454545</v>
      </c>
      <c r="G158" s="62">
        <v>4741233.569</v>
      </c>
      <c r="H158" s="62">
        <v>36101.03300123001</v>
      </c>
      <c r="I158" s="62">
        <v>552405.0758787105</v>
      </c>
      <c r="J158" s="62">
        <v>82711.27215867159</v>
      </c>
      <c r="K158" s="62">
        <v>389033.4512625871</v>
      </c>
      <c r="L158" s="40"/>
      <c r="M158" s="43">
        <f t="shared" si="25"/>
        <v>7379256.544</v>
      </c>
      <c r="N158" s="60">
        <f>'2023'!$M158/SUM(M$149:M$165)</f>
        <v>0.04617806657</v>
      </c>
      <c r="O158" s="60">
        <f t="shared" si="26"/>
        <v>0.74356401</v>
      </c>
      <c r="P158" s="42" t="s">
        <v>28</v>
      </c>
    </row>
    <row r="159" ht="15.0" customHeight="1">
      <c r="A159" s="40" t="s">
        <v>29</v>
      </c>
      <c r="B159" s="62">
        <v>214461.43488790444</v>
      </c>
      <c r="C159" s="62">
        <v>268195.45825855114</v>
      </c>
      <c r="D159" s="62">
        <v>791421.3475796274</v>
      </c>
      <c r="E159" s="62">
        <v>1374922.1463919084</v>
      </c>
      <c r="F159" s="62">
        <v>81986.4827090909</v>
      </c>
      <c r="G159" s="62">
        <v>4741233.569</v>
      </c>
      <c r="H159" s="62">
        <v>49453.46986469864</v>
      </c>
      <c r="I159" s="62">
        <v>1422419.0626780412</v>
      </c>
      <c r="J159" s="62">
        <v>113303.11254612547</v>
      </c>
      <c r="K159" s="62">
        <v>866775.1305930547</v>
      </c>
      <c r="L159" s="40"/>
      <c r="M159" s="43">
        <f t="shared" si="25"/>
        <v>9924171.215</v>
      </c>
      <c r="N159" s="60">
        <f>'2023'!$M159/SUM(M$149:M$165)</f>
        <v>0.06210368704</v>
      </c>
      <c r="O159" s="60">
        <f t="shared" si="26"/>
        <v>1</v>
      </c>
      <c r="P159" s="42" t="s">
        <v>29</v>
      </c>
    </row>
    <row r="160" ht="15.0" customHeight="1">
      <c r="A160" s="40" t="s">
        <v>30</v>
      </c>
      <c r="B160" s="62">
        <v>214461.43488790444</v>
      </c>
      <c r="C160" s="62">
        <v>268195.45825855114</v>
      </c>
      <c r="D160" s="62">
        <v>791421.3475796274</v>
      </c>
      <c r="E160" s="62">
        <v>1374922.1463919084</v>
      </c>
      <c r="F160" s="62">
        <v>81986.4827090909</v>
      </c>
      <c r="G160" s="62">
        <v>4741233.569</v>
      </c>
      <c r="H160" s="62">
        <v>49453.46986469864</v>
      </c>
      <c r="I160" s="62">
        <v>1422419.0626780412</v>
      </c>
      <c r="J160" s="62">
        <v>113303.11254612547</v>
      </c>
      <c r="K160" s="62">
        <v>866775.1305930547</v>
      </c>
      <c r="L160" s="40"/>
      <c r="M160" s="43">
        <f t="shared" si="25"/>
        <v>9924171.215</v>
      </c>
      <c r="N160" s="60">
        <f>'2023'!$M160/SUM(M$149:M$165)</f>
        <v>0.06210368704</v>
      </c>
      <c r="O160" s="60">
        <f t="shared" si="26"/>
        <v>1</v>
      </c>
      <c r="P160" s="42" t="s">
        <v>30</v>
      </c>
    </row>
    <row r="161" ht="15.0" customHeight="1">
      <c r="A161" s="40" t="s">
        <v>31</v>
      </c>
      <c r="B161" s="62">
        <v>214461.43488790444</v>
      </c>
      <c r="C161" s="62">
        <v>268195.45825855114</v>
      </c>
      <c r="D161" s="62">
        <v>791421.3475796274</v>
      </c>
      <c r="E161" s="62">
        <v>1374922.1463919084</v>
      </c>
      <c r="F161" s="62">
        <v>81986.4827090909</v>
      </c>
      <c r="G161" s="62">
        <v>4741233.569</v>
      </c>
      <c r="H161" s="62">
        <v>49453.46986469864</v>
      </c>
      <c r="I161" s="62">
        <v>1422419.0626780412</v>
      </c>
      <c r="J161" s="62">
        <v>113303.11254612547</v>
      </c>
      <c r="K161" s="62">
        <v>866775.1305930547</v>
      </c>
      <c r="L161" s="40"/>
      <c r="M161" s="43">
        <f t="shared" si="25"/>
        <v>9924171.215</v>
      </c>
      <c r="N161" s="60">
        <f>'2023'!$M161/SUM(M$149:M$165)</f>
        <v>0.06210368704</v>
      </c>
      <c r="O161" s="60">
        <f t="shared" si="26"/>
        <v>1</v>
      </c>
      <c r="P161" s="42" t="s">
        <v>31</v>
      </c>
    </row>
    <row r="162" ht="15.0" customHeight="1">
      <c r="A162" s="40" t="s">
        <v>32</v>
      </c>
      <c r="B162" s="62">
        <v>214461.43488790444</v>
      </c>
      <c r="C162" s="62">
        <v>268195.45825855114</v>
      </c>
      <c r="D162" s="62">
        <v>791421.3475796274</v>
      </c>
      <c r="E162" s="62">
        <v>1374922.1463919084</v>
      </c>
      <c r="F162" s="62">
        <v>81986.4827090909</v>
      </c>
      <c r="G162" s="62">
        <v>4741233.569</v>
      </c>
      <c r="H162" s="62">
        <v>49453.46986469864</v>
      </c>
      <c r="I162" s="62">
        <v>1422419.0626780412</v>
      </c>
      <c r="J162" s="62">
        <v>113303.11254612547</v>
      </c>
      <c r="K162" s="62">
        <v>866775.1305930547</v>
      </c>
      <c r="L162" s="40"/>
      <c r="M162" s="43">
        <f t="shared" si="25"/>
        <v>9924171.215</v>
      </c>
      <c r="N162" s="60">
        <f>'2023'!$M162/SUM(M$149:M$165)</f>
        <v>0.06210368704</v>
      </c>
      <c r="O162" s="60">
        <f t="shared" si="26"/>
        <v>1</v>
      </c>
      <c r="P162" s="42" t="s">
        <v>32</v>
      </c>
    </row>
    <row r="163" ht="15.0" customHeight="1">
      <c r="A163" s="40" t="s">
        <v>34</v>
      </c>
      <c r="B163" s="62">
        <v>214461.44138744095</v>
      </c>
      <c r="C163" s="62">
        <v>268195.45825855114</v>
      </c>
      <c r="D163" s="62">
        <v>791421.3509387288</v>
      </c>
      <c r="E163" s="62">
        <v>1294922.326852898</v>
      </c>
      <c r="F163" s="62">
        <v>81986.4827090909</v>
      </c>
      <c r="G163" s="62">
        <v>4741233.569</v>
      </c>
      <c r="H163" s="62">
        <v>49453.46986469864</v>
      </c>
      <c r="I163" s="62">
        <v>1422419.0626780412</v>
      </c>
      <c r="J163" s="62">
        <v>113303.11254612547</v>
      </c>
      <c r="K163" s="62">
        <v>866775.1305930547</v>
      </c>
      <c r="L163" s="40"/>
      <c r="M163" s="43">
        <f t="shared" si="25"/>
        <v>9844171.405</v>
      </c>
      <c r="N163" s="60">
        <f>'2023'!$M163/SUM(M$149:M$165)</f>
        <v>0.06160306255</v>
      </c>
      <c r="O163" s="60">
        <f t="shared" si="26"/>
        <v>0.9919388926</v>
      </c>
      <c r="P163" s="42" t="s">
        <v>34</v>
      </c>
    </row>
    <row r="164" ht="15.0" customHeight="1">
      <c r="A164" s="40" t="s">
        <v>35</v>
      </c>
      <c r="B164" s="62">
        <v>198511.491042955</v>
      </c>
      <c r="C164" s="62">
        <v>249451.95434638916</v>
      </c>
      <c r="D164" s="62">
        <v>779672.449375998</v>
      </c>
      <c r="E164" s="62">
        <v>1300493.8438030102</v>
      </c>
      <c r="F164" s="62">
        <v>81986.4827090909</v>
      </c>
      <c r="G164" s="62">
        <v>4741233.569</v>
      </c>
      <c r="H164" s="62">
        <v>39562.775891758916</v>
      </c>
      <c r="I164" s="62">
        <v>1283754.5610919334</v>
      </c>
      <c r="J164" s="62">
        <v>90642.49003690039</v>
      </c>
      <c r="K164" s="62">
        <v>732785.6451669006</v>
      </c>
      <c r="L164" s="40"/>
      <c r="M164" s="43">
        <f t="shared" si="25"/>
        <v>9498095.262</v>
      </c>
      <c r="N164" s="60">
        <f>'2023'!$M164/SUM(M$149:M$165)</f>
        <v>0.05943738</v>
      </c>
      <c r="O164" s="60">
        <f t="shared" si="26"/>
        <v>0.9570668479</v>
      </c>
      <c r="P164" s="42" t="s">
        <v>35</v>
      </c>
    </row>
    <row r="165" ht="15.0" customHeight="1">
      <c r="A165" s="40" t="s">
        <v>36</v>
      </c>
      <c r="B165" s="62">
        <v>214427.21562795417</v>
      </c>
      <c r="C165" s="62">
        <v>268195.45825855114</v>
      </c>
      <c r="D165" s="62">
        <v>787950.9069435532</v>
      </c>
      <c r="E165" s="62">
        <v>1294864.5142473162</v>
      </c>
      <c r="F165" s="62">
        <v>81986.4827090909</v>
      </c>
      <c r="G165" s="62">
        <v>2222453.235</v>
      </c>
      <c r="H165" s="62">
        <v>49453.46986469864</v>
      </c>
      <c r="I165" s="62">
        <v>1422419.0626780412</v>
      </c>
      <c r="J165" s="62">
        <v>113303.11254612547</v>
      </c>
      <c r="K165" s="62">
        <v>866775.1305930547</v>
      </c>
      <c r="L165" s="40"/>
      <c r="M165" s="43">
        <f t="shared" si="25"/>
        <v>7321828.588</v>
      </c>
      <c r="N165" s="60">
        <f>'2023'!$M165/SUM(M$149:M$165)</f>
        <v>0.0458186927</v>
      </c>
      <c r="O165" s="60">
        <f t="shared" si="26"/>
        <v>0.7377773348</v>
      </c>
      <c r="P165" s="42" t="s">
        <v>36</v>
      </c>
    </row>
    <row r="166" ht="15.0" customHeight="1">
      <c r="A166" s="42" t="s">
        <v>38</v>
      </c>
      <c r="B166" s="62">
        <f t="shared" ref="B166:M166" si="27">SUM(B149:B165)</f>
        <v>3491524.231</v>
      </c>
      <c r="C166" s="62">
        <f t="shared" si="27"/>
        <v>4375808.707</v>
      </c>
      <c r="D166" s="62">
        <f t="shared" si="27"/>
        <v>13269039.93</v>
      </c>
      <c r="E166" s="62">
        <f t="shared" si="27"/>
        <v>22173242</v>
      </c>
      <c r="F166" s="62">
        <f t="shared" si="27"/>
        <v>1352776.965</v>
      </c>
      <c r="G166" s="62">
        <f t="shared" si="27"/>
        <v>75563410.01</v>
      </c>
      <c r="H166" s="62">
        <f t="shared" si="27"/>
        <v>804113.42</v>
      </c>
      <c r="I166" s="62">
        <f t="shared" si="27"/>
        <v>22985248.5</v>
      </c>
      <c r="J166" s="62">
        <f t="shared" si="27"/>
        <v>1842308.61</v>
      </c>
      <c r="K166" s="62">
        <f t="shared" si="27"/>
        <v>13942560.25</v>
      </c>
      <c r="L166" s="43">
        <f t="shared" si="27"/>
        <v>0</v>
      </c>
      <c r="M166" s="43">
        <f t="shared" si="27"/>
        <v>159800032.6</v>
      </c>
      <c r="N166" s="43">
        <f>'2023'!$M166/SUM(M$149:M$165)</f>
        <v>1</v>
      </c>
      <c r="O166" s="60">
        <f t="shared" si="26"/>
        <v>16.10210356</v>
      </c>
      <c r="P166" s="42"/>
    </row>
    <row r="169" ht="15.0" customHeight="1">
      <c r="A169" s="42" t="s">
        <v>3</v>
      </c>
      <c r="B169" s="40" t="s">
        <v>246</v>
      </c>
      <c r="C169" s="40" t="s">
        <v>280</v>
      </c>
      <c r="D169" s="40" t="s">
        <v>283</v>
      </c>
      <c r="E169" s="40" t="s">
        <v>316</v>
      </c>
      <c r="F169" s="40" t="s">
        <v>277</v>
      </c>
      <c r="G169" s="40" t="s">
        <v>155</v>
      </c>
      <c r="H169" s="40" t="s">
        <v>317</v>
      </c>
      <c r="I169" s="40" t="s">
        <v>318</v>
      </c>
      <c r="J169" s="41" t="s">
        <v>133</v>
      </c>
      <c r="K169" s="41" t="s">
        <v>287</v>
      </c>
      <c r="L169" s="40" t="s">
        <v>121</v>
      </c>
      <c r="M169" s="42" t="s">
        <v>4</v>
      </c>
      <c r="N169" s="59" t="s">
        <v>15</v>
      </c>
      <c r="O169" s="59" t="s">
        <v>16</v>
      </c>
      <c r="P169" s="59" t="s">
        <v>17</v>
      </c>
    </row>
    <row r="170" ht="15.0" customHeight="1">
      <c r="A170" s="40" t="s">
        <v>5</v>
      </c>
      <c r="B170" s="43">
        <v>203244.44133962627</v>
      </c>
      <c r="C170" s="43">
        <v>197800.20886584872</v>
      </c>
      <c r="D170" s="43">
        <v>1129009.7129104235</v>
      </c>
      <c r="E170" s="43">
        <v>1311159.1375423966</v>
      </c>
      <c r="F170" s="43"/>
      <c r="G170" s="43"/>
      <c r="H170" s="43">
        <v>44349.38643926116</v>
      </c>
      <c r="I170" s="43">
        <v>1394167.0810594184</v>
      </c>
      <c r="J170" s="43">
        <v>194517.5580351149</v>
      </c>
      <c r="K170" s="40">
        <v>2994662.0779897245</v>
      </c>
      <c r="L170" s="40"/>
      <c r="M170" s="43">
        <f>SUM('2023'!$B170:$L170)</f>
        <v>7468909.604</v>
      </c>
      <c r="N170" s="60">
        <f>'2023'!$M170/SUM(M$170:M$187)</f>
        <v>0.06096348915</v>
      </c>
      <c r="O170" s="60">
        <f t="shared" ref="O170:O188" si="28">N170/$N$175</f>
        <v>1</v>
      </c>
      <c r="P170" s="42" t="s">
        <v>5</v>
      </c>
    </row>
    <row r="171" ht="15.0" customHeight="1">
      <c r="A171" s="40" t="s">
        <v>18</v>
      </c>
      <c r="B171" s="43">
        <v>203244.44133962627</v>
      </c>
      <c r="C171" s="43">
        <v>197800.2088658487</v>
      </c>
      <c r="D171" s="43">
        <v>1129009.7129104235</v>
      </c>
      <c r="E171" s="43">
        <v>1311159.1375423966</v>
      </c>
      <c r="F171" s="43"/>
      <c r="G171" s="43"/>
      <c r="H171" s="43">
        <v>44349.38643926116</v>
      </c>
      <c r="I171" s="43">
        <v>1394167.0810594184</v>
      </c>
      <c r="J171" s="43">
        <v>194517.5580351149</v>
      </c>
      <c r="K171" s="40">
        <v>2994662.0779897245</v>
      </c>
      <c r="L171" s="40"/>
      <c r="M171" s="43">
        <f>SUM('2023'!$B171:$L171)</f>
        <v>7468909.604</v>
      </c>
      <c r="N171" s="60">
        <f>'2023'!$M171/SUM(M$170:M$187)</f>
        <v>0.06096348915</v>
      </c>
      <c r="O171" s="60">
        <f t="shared" si="28"/>
        <v>1</v>
      </c>
      <c r="P171" s="42" t="s">
        <v>18</v>
      </c>
    </row>
    <row r="172" ht="15.0" customHeight="1">
      <c r="A172" s="40" t="s">
        <v>20</v>
      </c>
      <c r="B172" s="43">
        <v>203244.44133962627</v>
      </c>
      <c r="C172" s="43">
        <v>197800.20886584872</v>
      </c>
      <c r="D172" s="43">
        <v>1129009.7129104235</v>
      </c>
      <c r="E172" s="43">
        <v>1311159.1375423966</v>
      </c>
      <c r="F172" s="43"/>
      <c r="G172" s="43"/>
      <c r="H172" s="43">
        <v>44349.38643926116</v>
      </c>
      <c r="I172" s="43">
        <v>1394167.0810594184</v>
      </c>
      <c r="J172" s="43">
        <v>194517.5580351149</v>
      </c>
      <c r="K172" s="40">
        <v>2994662.0779897245</v>
      </c>
      <c r="L172" s="40"/>
      <c r="M172" s="43">
        <f>SUM('2023'!$B172:$L172)</f>
        <v>7468909.604</v>
      </c>
      <c r="N172" s="60">
        <f>'2023'!$M172/SUM(M$170:M$187)</f>
        <v>0.06096348915</v>
      </c>
      <c r="O172" s="60">
        <f t="shared" si="28"/>
        <v>1</v>
      </c>
      <c r="P172" s="42" t="s">
        <v>20</v>
      </c>
    </row>
    <row r="173" ht="15.0" customHeight="1">
      <c r="A173" s="40" t="s">
        <v>21</v>
      </c>
      <c r="B173" s="43">
        <v>0.0</v>
      </c>
      <c r="C173" s="43">
        <v>0.0</v>
      </c>
      <c r="D173" s="43">
        <v>0.0</v>
      </c>
      <c r="E173" s="43">
        <v>0.0</v>
      </c>
      <c r="F173" s="43"/>
      <c r="G173" s="43"/>
      <c r="H173" s="43">
        <v>13193.241497613362</v>
      </c>
      <c r="I173" s="43">
        <v>0.0</v>
      </c>
      <c r="J173" s="43">
        <v>110373.7476383488</v>
      </c>
      <c r="K173" s="40">
        <v>101674.87133992859</v>
      </c>
      <c r="L173" s="40"/>
      <c r="M173" s="43">
        <f>SUM('2023'!$B173:$L173)</f>
        <v>225241.8605</v>
      </c>
      <c r="N173" s="60">
        <f>'2023'!$M173/SUM(M$170:M$187)</f>
        <v>0.001838491888</v>
      </c>
      <c r="O173" s="60">
        <f t="shared" si="28"/>
        <v>0.03015726156</v>
      </c>
      <c r="P173" s="42" t="s">
        <v>21</v>
      </c>
    </row>
    <row r="174" ht="15.0" customHeight="1">
      <c r="A174" s="40" t="s">
        <v>22</v>
      </c>
      <c r="B174" s="43">
        <v>203244.44133962627</v>
      </c>
      <c r="C174" s="43">
        <v>197800.20886584872</v>
      </c>
      <c r="D174" s="43">
        <v>1129009.7129104235</v>
      </c>
      <c r="E174" s="43">
        <v>1311159.1375423966</v>
      </c>
      <c r="F174" s="43"/>
      <c r="G174" s="43"/>
      <c r="H174" s="43">
        <v>44349.38643926116</v>
      </c>
      <c r="I174" s="43">
        <v>1394167.0810594184</v>
      </c>
      <c r="J174" s="43">
        <v>194517.5580351149</v>
      </c>
      <c r="K174" s="40">
        <v>2994662.0779897245</v>
      </c>
      <c r="L174" s="40"/>
      <c r="M174" s="43">
        <f>SUM('2023'!$B174:$L174)</f>
        <v>7468909.604</v>
      </c>
      <c r="N174" s="60">
        <f>'2023'!$M174/SUM(M$170:M$187)</f>
        <v>0.06096348915</v>
      </c>
      <c r="O174" s="60">
        <f t="shared" si="28"/>
        <v>1</v>
      </c>
      <c r="P174" s="42" t="s">
        <v>22</v>
      </c>
    </row>
    <row r="175" ht="15.0" customHeight="1">
      <c r="A175" s="40" t="s">
        <v>23</v>
      </c>
      <c r="B175" s="43">
        <v>203244.44133962627</v>
      </c>
      <c r="C175" s="43">
        <v>197800.20886584872</v>
      </c>
      <c r="D175" s="43">
        <v>1129009.7129104235</v>
      </c>
      <c r="E175" s="43">
        <v>1311159.1375423966</v>
      </c>
      <c r="F175" s="43"/>
      <c r="G175" s="43"/>
      <c r="H175" s="43">
        <v>44349.38643926116</v>
      </c>
      <c r="I175" s="43">
        <v>1394167.0810594184</v>
      </c>
      <c r="J175" s="43">
        <v>194517.5580351149</v>
      </c>
      <c r="K175" s="40">
        <v>2994662.0779897245</v>
      </c>
      <c r="L175" s="40"/>
      <c r="M175" s="43">
        <f>SUM('2023'!$B175:$L175)</f>
        <v>7468909.604</v>
      </c>
      <c r="N175" s="60">
        <f>'2023'!$M175/SUM(M$170:M$187)</f>
        <v>0.06096348915</v>
      </c>
      <c r="O175" s="60">
        <f t="shared" si="28"/>
        <v>1</v>
      </c>
      <c r="P175" s="42" t="s">
        <v>23</v>
      </c>
    </row>
    <row r="176" ht="15.0" customHeight="1">
      <c r="A176" s="40" t="s">
        <v>24</v>
      </c>
      <c r="B176" s="43">
        <v>187986.7895587419</v>
      </c>
      <c r="C176" s="43">
        <v>163037.1965459103</v>
      </c>
      <c r="D176" s="43">
        <v>975109.7359241209</v>
      </c>
      <c r="E176" s="43">
        <v>1239115.1316415695</v>
      </c>
      <c r="F176" s="43"/>
      <c r="G176" s="43"/>
      <c r="H176" s="43">
        <v>32375.05210066065</v>
      </c>
      <c r="I176" s="43">
        <v>1277225.6069277457</v>
      </c>
      <c r="J176" s="43">
        <v>141997.81736563388</v>
      </c>
      <c r="K176" s="40">
        <v>2442598.141799</v>
      </c>
      <c r="L176" s="40"/>
      <c r="M176" s="43">
        <f>SUM('2023'!$B176:$L176)</f>
        <v>6459445.472</v>
      </c>
      <c r="N176" s="60">
        <f>'2023'!$M176/SUM(M$170:M$187)</f>
        <v>0.05272393894</v>
      </c>
      <c r="O176" s="63">
        <f t="shared" si="28"/>
        <v>0.8648445107</v>
      </c>
      <c r="P176" s="64" t="s">
        <v>24</v>
      </c>
    </row>
    <row r="177" ht="15.0" customHeight="1">
      <c r="A177" s="40" t="s">
        <v>25</v>
      </c>
      <c r="B177" s="43">
        <v>203244.44133962627</v>
      </c>
      <c r="C177" s="43">
        <v>197800.20886584872</v>
      </c>
      <c r="D177" s="43">
        <v>1129009.7129104235</v>
      </c>
      <c r="E177" s="43">
        <v>1311159.1375423966</v>
      </c>
      <c r="F177" s="43"/>
      <c r="G177" s="43"/>
      <c r="H177" s="43">
        <v>44349.38643926116</v>
      </c>
      <c r="I177" s="43">
        <v>1394167.0810594184</v>
      </c>
      <c r="J177" s="43">
        <v>194517.5580351149</v>
      </c>
      <c r="K177" s="40">
        <v>2994662.0779897245</v>
      </c>
      <c r="L177" s="40"/>
      <c r="M177" s="43">
        <f>SUM('2023'!$B177:$L177)</f>
        <v>7468909.604</v>
      </c>
      <c r="N177" s="60">
        <f>'2023'!$M177/SUM(M$170:M$187)</f>
        <v>0.06096348915</v>
      </c>
      <c r="O177" s="60">
        <f t="shared" si="28"/>
        <v>1</v>
      </c>
      <c r="P177" s="42" t="s">
        <v>25</v>
      </c>
    </row>
    <row r="178" ht="15.0" customHeight="1">
      <c r="A178" s="40" t="s">
        <v>26</v>
      </c>
      <c r="B178" s="43">
        <v>203244.44133962627</v>
      </c>
      <c r="C178" s="43">
        <v>197800.20886584872</v>
      </c>
      <c r="D178" s="43">
        <v>1129009.7129104235</v>
      </c>
      <c r="E178" s="43">
        <v>1311159.1375423966</v>
      </c>
      <c r="F178" s="43"/>
      <c r="G178" s="43"/>
      <c r="H178" s="43">
        <v>44349.38643926116</v>
      </c>
      <c r="I178" s="43">
        <v>1394167.0810594184</v>
      </c>
      <c r="J178" s="43">
        <v>194517.5580351149</v>
      </c>
      <c r="K178" s="40">
        <v>2994662.0779897245</v>
      </c>
      <c r="L178" s="40"/>
      <c r="M178" s="43">
        <f>SUM('2023'!$B178:$L178)</f>
        <v>7468909.604</v>
      </c>
      <c r="N178" s="60">
        <f>'2023'!$M178/SUM(M$170:M$187)</f>
        <v>0.06096348915</v>
      </c>
      <c r="O178" s="60">
        <f t="shared" si="28"/>
        <v>1</v>
      </c>
      <c r="P178" s="42" t="s">
        <v>26</v>
      </c>
    </row>
    <row r="179" ht="15.0" customHeight="1">
      <c r="A179" s="40" t="s">
        <v>27</v>
      </c>
      <c r="B179" s="43">
        <v>203244.44133962627</v>
      </c>
      <c r="C179" s="43">
        <v>197800.20886584872</v>
      </c>
      <c r="D179" s="43">
        <v>1129009.7129104235</v>
      </c>
      <c r="E179" s="43">
        <v>1311159.1375423966</v>
      </c>
      <c r="F179" s="43"/>
      <c r="G179" s="43"/>
      <c r="H179" s="43">
        <v>44349.38643926116</v>
      </c>
      <c r="I179" s="43">
        <v>1394167.0810594184</v>
      </c>
      <c r="J179" s="43">
        <v>194517.5580351149</v>
      </c>
      <c r="K179" s="40">
        <v>2994662.0779897245</v>
      </c>
      <c r="L179" s="40"/>
      <c r="M179" s="43">
        <f>SUM('2023'!$B179:$L179)</f>
        <v>7468909.604</v>
      </c>
      <c r="N179" s="60">
        <f>'2023'!$M179/SUM(M$170:M$187)</f>
        <v>0.06096348915</v>
      </c>
      <c r="O179" s="60">
        <f t="shared" si="28"/>
        <v>1</v>
      </c>
      <c r="P179" s="42" t="s">
        <v>27</v>
      </c>
    </row>
    <row r="180" ht="15.0" customHeight="1">
      <c r="A180" s="40" t="s">
        <v>28</v>
      </c>
      <c r="B180" s="43">
        <v>89719.03802900025</v>
      </c>
      <c r="C180" s="43">
        <v>66712.13006261102</v>
      </c>
      <c r="D180" s="43">
        <v>707923.7922723439</v>
      </c>
      <c r="E180" s="43">
        <v>664373.3493193964</v>
      </c>
      <c r="F180" s="43"/>
      <c r="G180" s="43"/>
      <c r="H180" s="43">
        <v>32375.05210066065</v>
      </c>
      <c r="I180" s="43">
        <v>1037795.0213525847</v>
      </c>
      <c r="J180" s="43">
        <v>141997.81736563388</v>
      </c>
      <c r="K180" s="40">
        <v>1802994.2989566247</v>
      </c>
      <c r="L180" s="40"/>
      <c r="M180" s="43">
        <f>SUM('2023'!$B180:$L180)</f>
        <v>4543890.499</v>
      </c>
      <c r="N180" s="60">
        <f>'2023'!$M180/SUM(M$170:M$187)</f>
        <v>0.03708860246</v>
      </c>
      <c r="O180" s="60">
        <f t="shared" si="28"/>
        <v>0.6083740118</v>
      </c>
      <c r="P180" s="42" t="s">
        <v>28</v>
      </c>
    </row>
    <row r="181" ht="15.0" customHeight="1">
      <c r="A181" s="40" t="s">
        <v>29</v>
      </c>
      <c r="B181" s="43">
        <v>203244.44133962627</v>
      </c>
      <c r="C181" s="43">
        <v>197800.20886584872</v>
      </c>
      <c r="D181" s="43">
        <v>1129009.7129104235</v>
      </c>
      <c r="E181" s="43">
        <v>1311159.1375423966</v>
      </c>
      <c r="F181" s="43"/>
      <c r="G181" s="43"/>
      <c r="H181" s="43">
        <v>44349.38643926116</v>
      </c>
      <c r="I181" s="43">
        <v>1394167.0810594184</v>
      </c>
      <c r="J181" s="43">
        <v>194517.5580351149</v>
      </c>
      <c r="K181" s="40">
        <v>2994662.0779897245</v>
      </c>
      <c r="L181" s="40"/>
      <c r="M181" s="43">
        <f>SUM('2023'!$B181:$L181)</f>
        <v>7468909.604</v>
      </c>
      <c r="N181" s="60">
        <f>'2023'!$M181/SUM(M$170:M$187)</f>
        <v>0.06096348915</v>
      </c>
      <c r="O181" s="60">
        <f t="shared" si="28"/>
        <v>1</v>
      </c>
      <c r="P181" s="42" t="s">
        <v>29</v>
      </c>
    </row>
    <row r="182" ht="15.0" customHeight="1">
      <c r="A182" s="40" t="s">
        <v>30</v>
      </c>
      <c r="B182" s="43">
        <v>203244.44133962627</v>
      </c>
      <c r="C182" s="43">
        <v>197800.20886584872</v>
      </c>
      <c r="D182" s="43">
        <v>1129009.7129104235</v>
      </c>
      <c r="E182" s="43">
        <v>1311159.1375423966</v>
      </c>
      <c r="F182" s="43"/>
      <c r="G182" s="43"/>
      <c r="H182" s="43">
        <v>44349.38643926116</v>
      </c>
      <c r="I182" s="43">
        <v>1394167.0810594184</v>
      </c>
      <c r="J182" s="43">
        <v>194517.5580351149</v>
      </c>
      <c r="K182" s="40">
        <v>2994662.0779897245</v>
      </c>
      <c r="L182" s="40"/>
      <c r="M182" s="43">
        <f>SUM('2023'!$B182:$L182)</f>
        <v>7468909.604</v>
      </c>
      <c r="N182" s="60">
        <f>'2023'!$M182/SUM(M$170:M$187)</f>
        <v>0.06096348915</v>
      </c>
      <c r="O182" s="60">
        <f t="shared" si="28"/>
        <v>1</v>
      </c>
      <c r="P182" s="42" t="s">
        <v>30</v>
      </c>
    </row>
    <row r="183" ht="15.0" customHeight="1">
      <c r="A183" s="40" t="s">
        <v>31</v>
      </c>
      <c r="B183" s="43">
        <v>203244.44133962627</v>
      </c>
      <c r="C183" s="43">
        <v>197800.2088658487</v>
      </c>
      <c r="D183" s="43">
        <v>1129009.7129104235</v>
      </c>
      <c r="E183" s="43">
        <v>1311159.1375423966</v>
      </c>
      <c r="F183" s="43"/>
      <c r="G183" s="43"/>
      <c r="H183" s="43">
        <v>44349.38643926116</v>
      </c>
      <c r="I183" s="43">
        <v>1394167.0810594184</v>
      </c>
      <c r="J183" s="43">
        <v>194517.5580351149</v>
      </c>
      <c r="K183" s="40">
        <v>2994662.0779897245</v>
      </c>
      <c r="L183" s="40"/>
      <c r="M183" s="43">
        <f>SUM('2023'!$B183:$L183)</f>
        <v>7468909.604</v>
      </c>
      <c r="N183" s="60">
        <f>'2023'!$M183/SUM(M$170:M$187)</f>
        <v>0.06096348915</v>
      </c>
      <c r="O183" s="60">
        <f t="shared" si="28"/>
        <v>1</v>
      </c>
      <c r="P183" s="42" t="s">
        <v>31</v>
      </c>
    </row>
    <row r="184" ht="15.0" customHeight="1">
      <c r="A184" s="40" t="s">
        <v>32</v>
      </c>
      <c r="B184" s="43">
        <v>203244.44133962627</v>
      </c>
      <c r="C184" s="43">
        <v>197800.20886584872</v>
      </c>
      <c r="D184" s="43">
        <v>1129009.7129104235</v>
      </c>
      <c r="E184" s="43">
        <v>1311159.1375423966</v>
      </c>
      <c r="F184" s="43"/>
      <c r="G184" s="43"/>
      <c r="H184" s="43">
        <v>44349.38643926116</v>
      </c>
      <c r="I184" s="43">
        <v>1394167.0810594184</v>
      </c>
      <c r="J184" s="43">
        <v>194517.5580351149</v>
      </c>
      <c r="K184" s="40">
        <v>2994662.0779897245</v>
      </c>
      <c r="L184" s="40"/>
      <c r="M184" s="43">
        <f>SUM('2023'!$B184:$L184)</f>
        <v>7468909.604</v>
      </c>
      <c r="N184" s="60">
        <f>'2023'!$M184/SUM(M$170:M$187)</f>
        <v>0.06096348915</v>
      </c>
      <c r="O184" s="60">
        <f t="shared" si="28"/>
        <v>1</v>
      </c>
      <c r="P184" s="42" t="s">
        <v>32</v>
      </c>
    </row>
    <row r="185" ht="15.0" customHeight="1">
      <c r="A185" s="40" t="s">
        <v>34</v>
      </c>
      <c r="B185" s="43">
        <v>203244.44133962627</v>
      </c>
      <c r="C185" s="43">
        <v>197800.20886584872</v>
      </c>
      <c r="D185" s="43">
        <v>1129009.7129104235</v>
      </c>
      <c r="E185" s="43">
        <v>1311159.1375423966</v>
      </c>
      <c r="F185" s="43"/>
      <c r="G185" s="43"/>
      <c r="H185" s="43">
        <v>44349.38643926116</v>
      </c>
      <c r="I185" s="43">
        <v>1394167.0810594184</v>
      </c>
      <c r="J185" s="43">
        <v>194517.5580351149</v>
      </c>
      <c r="K185" s="40">
        <v>2994662.0779897245</v>
      </c>
      <c r="L185" s="40"/>
      <c r="M185" s="43">
        <f>SUM('2023'!$B185:$L185)</f>
        <v>7468909.604</v>
      </c>
      <c r="N185" s="60">
        <f>'2023'!$M185/SUM(M$170:M$187)</f>
        <v>0.06096348915</v>
      </c>
      <c r="O185" s="60">
        <f t="shared" si="28"/>
        <v>1</v>
      </c>
      <c r="P185" s="42" t="s">
        <v>34</v>
      </c>
    </row>
    <row r="186" ht="15.0" customHeight="1">
      <c r="A186" s="40" t="s">
        <v>35</v>
      </c>
      <c r="B186" s="43">
        <v>191942.4770574897</v>
      </c>
      <c r="C186" s="43">
        <v>172049.82936959804</v>
      </c>
      <c r="D186" s="43">
        <v>1015009.7299576066</v>
      </c>
      <c r="E186" s="43">
        <v>1257793.2072454875</v>
      </c>
      <c r="F186" s="43"/>
      <c r="G186" s="43"/>
      <c r="H186" s="43">
        <v>35479.509151408936</v>
      </c>
      <c r="I186" s="43">
        <v>1307543.7668878091</v>
      </c>
      <c r="J186" s="43">
        <v>155614.04642809194</v>
      </c>
      <c r="K186" s="40">
        <v>2585725.8289595586</v>
      </c>
      <c r="L186" s="40"/>
      <c r="M186" s="43">
        <f>SUM('2023'!$B186:$L186)</f>
        <v>6721158.395</v>
      </c>
      <c r="N186" s="60">
        <f>'2023'!$M186/SUM(M$170:M$187)</f>
        <v>0.05486011862</v>
      </c>
      <c r="O186" s="60">
        <f t="shared" si="28"/>
        <v>0.8998848227</v>
      </c>
      <c r="P186" s="42" t="s">
        <v>35</v>
      </c>
    </row>
    <row r="187" ht="15.0" customHeight="1">
      <c r="A187" s="40" t="s">
        <v>36</v>
      </c>
      <c r="B187" s="43">
        <v>203244.44133962627</v>
      </c>
      <c r="C187" s="43">
        <v>197800.20886584872</v>
      </c>
      <c r="D187" s="43">
        <v>1129009.7129104235</v>
      </c>
      <c r="E187" s="43">
        <v>1311159.1375423966</v>
      </c>
      <c r="F187" s="43"/>
      <c r="G187" s="43"/>
      <c r="H187" s="43">
        <v>44349.38643926116</v>
      </c>
      <c r="I187" s="43">
        <v>1394167.0810594184</v>
      </c>
      <c r="J187" s="43">
        <v>194517.5580351149</v>
      </c>
      <c r="K187" s="40">
        <v>2994662.0779897245</v>
      </c>
      <c r="L187" s="40"/>
      <c r="M187" s="43">
        <f>SUM('2023'!$B187:$L187)</f>
        <v>7468909.604</v>
      </c>
      <c r="N187" s="60">
        <f>'2023'!$M187/SUM(M$170:M$187)</f>
        <v>0.06096348915</v>
      </c>
      <c r="O187" s="60">
        <f t="shared" si="28"/>
        <v>1</v>
      </c>
      <c r="P187" s="42" t="s">
        <v>36</v>
      </c>
    </row>
    <row r="188" ht="15.0" customHeight="1">
      <c r="A188" s="42" t="s">
        <v>38</v>
      </c>
      <c r="B188" s="43">
        <f t="shared" ref="B188:M188" si="29">SUM(B170:B187)</f>
        <v>3315070.483</v>
      </c>
      <c r="C188" s="43">
        <f t="shared" si="29"/>
        <v>3171002.08</v>
      </c>
      <c r="D188" s="43">
        <f t="shared" si="29"/>
        <v>18504179.24</v>
      </c>
      <c r="E188" s="43">
        <f t="shared" si="29"/>
        <v>21517509.61</v>
      </c>
      <c r="F188" s="43">
        <f t="shared" si="29"/>
        <v>0</v>
      </c>
      <c r="G188" s="43">
        <f t="shared" si="29"/>
        <v>0</v>
      </c>
      <c r="H188" s="43">
        <f t="shared" si="29"/>
        <v>734314.265</v>
      </c>
      <c r="I188" s="43">
        <f t="shared" si="29"/>
        <v>23140903.53</v>
      </c>
      <c r="J188" s="43">
        <f t="shared" si="29"/>
        <v>3273229.241</v>
      </c>
      <c r="K188" s="43">
        <f t="shared" si="29"/>
        <v>48858262.23</v>
      </c>
      <c r="L188" s="43">
        <f t="shared" si="29"/>
        <v>0</v>
      </c>
      <c r="M188" s="43">
        <f t="shared" si="29"/>
        <v>122514470.7</v>
      </c>
      <c r="N188" s="43">
        <f>'2023'!$M188/SUM(M$170:M$187)</f>
        <v>1</v>
      </c>
      <c r="O188" s="60">
        <f t="shared" si="28"/>
        <v>16.40326061</v>
      </c>
      <c r="P188" s="42"/>
    </row>
    <row r="191" ht="15.0" customHeight="1">
      <c r="A191" s="3" t="s">
        <v>3</v>
      </c>
      <c r="B191" s="6" t="s">
        <v>357</v>
      </c>
      <c r="C191" s="6" t="s">
        <v>358</v>
      </c>
      <c r="D191" s="6" t="s">
        <v>359</v>
      </c>
      <c r="E191" s="6" t="s">
        <v>295</v>
      </c>
      <c r="F191" s="6"/>
      <c r="G191" s="6" t="s">
        <v>155</v>
      </c>
      <c r="H191" s="6" t="s">
        <v>172</v>
      </c>
      <c r="I191" s="6" t="s">
        <v>360</v>
      </c>
      <c r="J191" s="9" t="s">
        <v>361</v>
      </c>
      <c r="K191" s="9" t="s">
        <v>362</v>
      </c>
      <c r="L191" s="6" t="s">
        <v>121</v>
      </c>
      <c r="M191" s="6" t="s">
        <v>4</v>
      </c>
      <c r="N191" s="11" t="s">
        <v>15</v>
      </c>
      <c r="O191" s="11" t="s">
        <v>16</v>
      </c>
      <c r="P191" s="11" t="s">
        <v>17</v>
      </c>
    </row>
    <row r="192" ht="15.0" customHeight="1">
      <c r="A192" s="13" t="s">
        <v>5</v>
      </c>
      <c r="B192" s="21">
        <v>976922.0098089173</v>
      </c>
      <c r="C192" s="21">
        <v>745207.9696629106</v>
      </c>
      <c r="D192" s="21">
        <v>369037.88728096255</v>
      </c>
      <c r="E192" s="21">
        <v>1391465.6513226698</v>
      </c>
      <c r="H192" s="21">
        <v>53053.01648028251</v>
      </c>
      <c r="I192" s="21">
        <v>1384328.4811377623</v>
      </c>
      <c r="J192" s="21">
        <v>118461.56444967625</v>
      </c>
      <c r="K192" s="21">
        <v>2580593.0850966154</v>
      </c>
      <c r="M192" s="21">
        <f t="shared" ref="M192:M209" si="30">SUM(B192:L192)</f>
        <v>7619069.665</v>
      </c>
      <c r="N192" s="16">
        <f t="shared" ref="N192:N209" si="31">M192/$M$210</f>
        <v>0.06097439856</v>
      </c>
      <c r="O192" s="16">
        <f t="shared" ref="O192:O209" si="32">N192/$N$192</f>
        <v>1</v>
      </c>
      <c r="P192" s="17" t="s">
        <v>5</v>
      </c>
    </row>
    <row r="193" ht="15.0" customHeight="1">
      <c r="A193" s="18" t="s">
        <v>18</v>
      </c>
      <c r="B193" s="21">
        <v>976922.0098089171</v>
      </c>
      <c r="C193" s="21">
        <v>745207.9696629106</v>
      </c>
      <c r="D193" s="21">
        <v>369037.88728096255</v>
      </c>
      <c r="E193" s="21">
        <v>1391465.6513226698</v>
      </c>
      <c r="H193" s="21">
        <v>53053.01648028251</v>
      </c>
      <c r="I193" s="21">
        <v>1384328.4811377623</v>
      </c>
      <c r="J193" s="21">
        <v>118461.56444967625</v>
      </c>
      <c r="K193" s="21">
        <v>2580593.0850966154</v>
      </c>
      <c r="M193" s="21">
        <f t="shared" si="30"/>
        <v>7619069.665</v>
      </c>
      <c r="N193" s="16">
        <f t="shared" si="31"/>
        <v>0.06097439856</v>
      </c>
      <c r="O193" s="16">
        <f t="shared" si="32"/>
        <v>1</v>
      </c>
      <c r="P193" s="19" t="s">
        <v>18</v>
      </c>
    </row>
    <row r="194" ht="15.0" customHeight="1">
      <c r="A194" s="13" t="s">
        <v>20</v>
      </c>
      <c r="B194" s="21">
        <v>976922.0098089171</v>
      </c>
      <c r="C194" s="21">
        <v>745207.9696629106</v>
      </c>
      <c r="D194" s="21">
        <v>369037.88728096255</v>
      </c>
      <c r="E194" s="21">
        <v>1391465.6513226698</v>
      </c>
      <c r="H194" s="21">
        <v>53053.01648028251</v>
      </c>
      <c r="I194" s="21">
        <v>1384328.4811377623</v>
      </c>
      <c r="J194" s="21">
        <v>118461.56444967625</v>
      </c>
      <c r="K194" s="21">
        <v>2580593.0850966154</v>
      </c>
      <c r="M194" s="21">
        <f t="shared" si="30"/>
        <v>7619069.665</v>
      </c>
      <c r="N194" s="16">
        <f t="shared" si="31"/>
        <v>0.06097439856</v>
      </c>
      <c r="O194" s="16">
        <f t="shared" si="32"/>
        <v>1</v>
      </c>
      <c r="P194" s="17" t="s">
        <v>20</v>
      </c>
    </row>
    <row r="195" ht="15.0" customHeight="1">
      <c r="A195" s="18" t="s">
        <v>21</v>
      </c>
      <c r="B195" s="21">
        <v>103641.54065385945</v>
      </c>
      <c r="C195" s="21">
        <v>106361.90604603484</v>
      </c>
      <c r="D195" s="21">
        <v>100171.64344108262</v>
      </c>
      <c r="E195" s="21">
        <v>118541.81533631602</v>
      </c>
      <c r="H195" s="21">
        <v>53053.01648028251</v>
      </c>
      <c r="I195" s="21">
        <v>50348.86845881233</v>
      </c>
      <c r="J195" s="21">
        <v>118461.56444967625</v>
      </c>
      <c r="K195" s="21">
        <v>976107.6493352142</v>
      </c>
      <c r="M195" s="21">
        <f t="shared" si="30"/>
        <v>1626688.004</v>
      </c>
      <c r="N195" s="16">
        <f t="shared" si="31"/>
        <v>0.01301816718</v>
      </c>
      <c r="O195" s="16">
        <f t="shared" si="32"/>
        <v>0.2135021828</v>
      </c>
      <c r="P195" s="19" t="s">
        <v>21</v>
      </c>
    </row>
    <row r="196" ht="15.0" customHeight="1">
      <c r="A196" s="13" t="s">
        <v>22</v>
      </c>
      <c r="B196" s="21">
        <v>972407.1609412038</v>
      </c>
      <c r="C196" s="21">
        <v>745207.9696629106</v>
      </c>
      <c r="D196" s="21">
        <v>369037.88728096255</v>
      </c>
      <c r="E196" s="21">
        <v>1391465.6513226698</v>
      </c>
      <c r="H196" s="21">
        <v>38728.70203060623</v>
      </c>
      <c r="I196" s="21">
        <v>1384328.4811377623</v>
      </c>
      <c r="J196" s="21">
        <v>86476.94204826366</v>
      </c>
      <c r="K196" s="21">
        <v>2494466.171495785</v>
      </c>
      <c r="M196" s="21">
        <f t="shared" si="30"/>
        <v>7482118.966</v>
      </c>
      <c r="N196" s="16">
        <f t="shared" si="31"/>
        <v>0.05987840037</v>
      </c>
      <c r="O196" s="16">
        <f t="shared" si="32"/>
        <v>0.9820252727</v>
      </c>
      <c r="P196" s="17" t="s">
        <v>22</v>
      </c>
    </row>
    <row r="197" ht="15.0" customHeight="1">
      <c r="A197" s="18" t="s">
        <v>23</v>
      </c>
      <c r="B197" s="21">
        <v>976922.0098089171</v>
      </c>
      <c r="C197" s="21">
        <v>745207.9696629106</v>
      </c>
      <c r="D197" s="21">
        <v>369037.88728096255</v>
      </c>
      <c r="E197" s="21">
        <v>1391465.6513226698</v>
      </c>
      <c r="H197" s="21">
        <v>53053.01648028251</v>
      </c>
      <c r="I197" s="21">
        <v>1384328.4811377623</v>
      </c>
      <c r="J197" s="21">
        <v>118461.56444967625</v>
      </c>
      <c r="K197" s="21">
        <v>2580593.0850966154</v>
      </c>
      <c r="M197" s="21">
        <f t="shared" si="30"/>
        <v>7619069.665</v>
      </c>
      <c r="N197" s="16">
        <f t="shared" si="31"/>
        <v>0.06097439856</v>
      </c>
      <c r="O197" s="16">
        <f t="shared" si="32"/>
        <v>1</v>
      </c>
      <c r="P197" s="19" t="s">
        <v>23</v>
      </c>
    </row>
    <row r="198" ht="15.0" customHeight="1">
      <c r="A198" s="13" t="s">
        <v>24</v>
      </c>
      <c r="B198" s="21">
        <v>719093.9595035735</v>
      </c>
      <c r="C198" s="21">
        <v>684513.8074750985</v>
      </c>
      <c r="D198" s="21">
        <v>270934.3955211289</v>
      </c>
      <c r="E198" s="21">
        <v>1070021.9793818328</v>
      </c>
      <c r="H198" s="21">
        <v>38728.70203060623</v>
      </c>
      <c r="I198" s="21">
        <v>1000583.3678605639</v>
      </c>
      <c r="J198" s="21">
        <v>86476.94204826366</v>
      </c>
      <c r="K198" s="21">
        <v>2078648.681813515</v>
      </c>
      <c r="M198" s="21">
        <f t="shared" si="30"/>
        <v>5949001.836</v>
      </c>
      <c r="N198" s="16">
        <f t="shared" si="31"/>
        <v>0.04760906841</v>
      </c>
      <c r="O198" s="16">
        <f t="shared" si="32"/>
        <v>0.7808042316</v>
      </c>
      <c r="P198" s="75" t="s">
        <v>24</v>
      </c>
    </row>
    <row r="199" ht="15.0" customHeight="1">
      <c r="A199" s="18" t="s">
        <v>25</v>
      </c>
      <c r="B199" s="21">
        <v>976922.0098089172</v>
      </c>
      <c r="C199" s="21">
        <v>745207.9696629106</v>
      </c>
      <c r="D199" s="21">
        <v>369037.88728096255</v>
      </c>
      <c r="E199" s="21">
        <v>1391465.6513226698</v>
      </c>
      <c r="H199" s="21">
        <v>53053.01648028251</v>
      </c>
      <c r="I199" s="21">
        <v>1384328.4811377623</v>
      </c>
      <c r="J199" s="21">
        <v>118461.56444967625</v>
      </c>
      <c r="K199" s="21">
        <v>2580593.0850966154</v>
      </c>
      <c r="M199" s="21">
        <f t="shared" si="30"/>
        <v>7619069.665</v>
      </c>
      <c r="N199" s="16">
        <f t="shared" si="31"/>
        <v>0.06097439856</v>
      </c>
      <c r="O199" s="16">
        <f t="shared" si="32"/>
        <v>1</v>
      </c>
      <c r="P199" s="19" t="s">
        <v>25</v>
      </c>
    </row>
    <row r="200" ht="15.0" customHeight="1">
      <c r="A200" s="13" t="s">
        <v>26</v>
      </c>
      <c r="B200" s="21">
        <v>976922.0098089171</v>
      </c>
      <c r="C200" s="21">
        <v>745207.9696629106</v>
      </c>
      <c r="D200" s="21">
        <v>369037.88728096255</v>
      </c>
      <c r="E200" s="21">
        <v>1391465.6513226698</v>
      </c>
      <c r="H200" s="21">
        <v>53053.01648028251</v>
      </c>
      <c r="I200" s="21">
        <v>1384328.4811377623</v>
      </c>
      <c r="J200" s="21">
        <v>118461.56444967625</v>
      </c>
      <c r="K200" s="21">
        <v>2580593.0850966154</v>
      </c>
      <c r="M200" s="21">
        <f t="shared" si="30"/>
        <v>7619069.665</v>
      </c>
      <c r="N200" s="16">
        <f t="shared" si="31"/>
        <v>0.06097439856</v>
      </c>
      <c r="O200" s="16">
        <f t="shared" si="32"/>
        <v>1</v>
      </c>
      <c r="P200" s="17" t="s">
        <v>26</v>
      </c>
    </row>
    <row r="201" ht="15.0" customHeight="1">
      <c r="A201" s="18" t="s">
        <v>27</v>
      </c>
      <c r="B201" s="21">
        <v>976922.0098089171</v>
      </c>
      <c r="C201" s="21">
        <v>745207.9696629106</v>
      </c>
      <c r="D201" s="21">
        <v>369037.88728096255</v>
      </c>
      <c r="E201" s="21">
        <v>1391465.6513226698</v>
      </c>
      <c r="H201" s="21">
        <v>53053.01648028251</v>
      </c>
      <c r="I201" s="21">
        <v>1384328.4811377623</v>
      </c>
      <c r="J201" s="21">
        <v>118461.56444967625</v>
      </c>
      <c r="K201" s="21">
        <v>2580593.0850966154</v>
      </c>
      <c r="M201" s="21">
        <f t="shared" si="30"/>
        <v>7619069.665</v>
      </c>
      <c r="N201" s="16">
        <f t="shared" si="31"/>
        <v>0.06097439856</v>
      </c>
      <c r="O201" s="16">
        <f t="shared" si="32"/>
        <v>1</v>
      </c>
      <c r="P201" s="19" t="s">
        <v>27</v>
      </c>
    </row>
    <row r="202" ht="15.0" customHeight="1">
      <c r="A202" s="13" t="s">
        <v>28</v>
      </c>
      <c r="B202" s="21">
        <v>669217.6030111494</v>
      </c>
      <c r="C202" s="21">
        <v>422742.7048928396</v>
      </c>
      <c r="D202" s="21">
        <v>245124.6916787842</v>
      </c>
      <c r="E202" s="21">
        <v>582599.1405017265</v>
      </c>
      <c r="H202" s="21">
        <v>38728.70203060623</v>
      </c>
      <c r="I202" s="21">
        <v>981909.5666449298</v>
      </c>
      <c r="J202" s="21">
        <v>86476.94204826366</v>
      </c>
      <c r="K202" s="21">
        <v>1445243.2398955333</v>
      </c>
      <c r="M202" s="21">
        <f t="shared" si="30"/>
        <v>4472042.591</v>
      </c>
      <c r="N202" s="16">
        <f t="shared" si="31"/>
        <v>0.03578916052</v>
      </c>
      <c r="O202" s="16">
        <f t="shared" si="32"/>
        <v>0.5869538916</v>
      </c>
      <c r="P202" s="17" t="s">
        <v>28</v>
      </c>
    </row>
    <row r="203" ht="15.0" customHeight="1">
      <c r="A203" s="18" t="s">
        <v>29</v>
      </c>
      <c r="B203" s="21">
        <v>976922.0098089171</v>
      </c>
      <c r="C203" s="21">
        <v>745207.9696629106</v>
      </c>
      <c r="D203" s="21">
        <v>369037.88728096255</v>
      </c>
      <c r="E203" s="21">
        <v>1391465.6513226698</v>
      </c>
      <c r="H203" s="21">
        <v>53053.01648028251</v>
      </c>
      <c r="I203" s="21">
        <v>1384328.4811377623</v>
      </c>
      <c r="J203" s="21">
        <v>118461.56444967625</v>
      </c>
      <c r="K203" s="21">
        <v>2580593.0850966154</v>
      </c>
      <c r="M203" s="21">
        <f t="shared" si="30"/>
        <v>7619069.665</v>
      </c>
      <c r="N203" s="16">
        <f t="shared" si="31"/>
        <v>0.06097439856</v>
      </c>
      <c r="O203" s="16">
        <f t="shared" si="32"/>
        <v>1</v>
      </c>
      <c r="P203" s="19" t="s">
        <v>29</v>
      </c>
    </row>
    <row r="204" ht="15.0" customHeight="1">
      <c r="A204" s="13" t="s">
        <v>30</v>
      </c>
      <c r="B204" s="21">
        <v>976922.0098089171</v>
      </c>
      <c r="C204" s="21">
        <v>745207.9696629106</v>
      </c>
      <c r="D204" s="21">
        <v>369037.88728096255</v>
      </c>
      <c r="E204" s="21">
        <v>1391465.6513226698</v>
      </c>
      <c r="H204" s="21">
        <v>53053.01648028251</v>
      </c>
      <c r="I204" s="21">
        <v>1384328.4811377623</v>
      </c>
      <c r="J204" s="21">
        <v>118461.56444967625</v>
      </c>
      <c r="K204" s="21">
        <v>2580593.0850966154</v>
      </c>
      <c r="M204" s="21">
        <f t="shared" si="30"/>
        <v>7619069.665</v>
      </c>
      <c r="N204" s="16">
        <f t="shared" si="31"/>
        <v>0.06097439856</v>
      </c>
      <c r="O204" s="16">
        <f t="shared" si="32"/>
        <v>1</v>
      </c>
      <c r="P204" s="17" t="s">
        <v>30</v>
      </c>
    </row>
    <row r="205" ht="15.0" customHeight="1">
      <c r="A205" s="18" t="s">
        <v>31</v>
      </c>
      <c r="B205" s="21">
        <v>976922.0098089173</v>
      </c>
      <c r="C205" s="21">
        <v>745207.9696629106</v>
      </c>
      <c r="D205" s="21">
        <v>369037.88728096255</v>
      </c>
      <c r="E205" s="21">
        <v>1391465.6513226698</v>
      </c>
      <c r="H205" s="21">
        <v>53053.01648028251</v>
      </c>
      <c r="I205" s="21">
        <v>1384328.4811377623</v>
      </c>
      <c r="J205" s="21">
        <v>118461.56444967625</v>
      </c>
      <c r="K205" s="21">
        <v>2580593.0850966154</v>
      </c>
      <c r="M205" s="21">
        <f t="shared" si="30"/>
        <v>7619069.665</v>
      </c>
      <c r="N205" s="16">
        <f t="shared" si="31"/>
        <v>0.06097439856</v>
      </c>
      <c r="O205" s="16">
        <f t="shared" si="32"/>
        <v>1</v>
      </c>
      <c r="P205" s="19" t="s">
        <v>31</v>
      </c>
    </row>
    <row r="206" ht="15.0" customHeight="1">
      <c r="A206" s="13" t="s">
        <v>32</v>
      </c>
      <c r="B206" s="21">
        <v>976922.0098089171</v>
      </c>
      <c r="C206" s="21">
        <v>745207.9696629106</v>
      </c>
      <c r="D206" s="21">
        <v>369037.88728096255</v>
      </c>
      <c r="E206" s="21">
        <v>1391465.6513226698</v>
      </c>
      <c r="H206" s="21">
        <v>53053.01648028251</v>
      </c>
      <c r="I206" s="21">
        <v>1384328.4811377623</v>
      </c>
      <c r="J206" s="21">
        <v>118461.56444967625</v>
      </c>
      <c r="K206" s="21">
        <v>2580593.0850966154</v>
      </c>
      <c r="M206" s="21">
        <f t="shared" si="30"/>
        <v>7619069.665</v>
      </c>
      <c r="N206" s="16">
        <f t="shared" si="31"/>
        <v>0.06097439856</v>
      </c>
      <c r="O206" s="16">
        <f t="shared" si="32"/>
        <v>1</v>
      </c>
      <c r="P206" s="17" t="s">
        <v>32</v>
      </c>
    </row>
    <row r="207" ht="15.0" customHeight="1">
      <c r="A207" s="18" t="s">
        <v>34</v>
      </c>
      <c r="B207" s="21">
        <v>976922.0098089171</v>
      </c>
      <c r="C207" s="21">
        <v>745207.9696629106</v>
      </c>
      <c r="D207" s="21">
        <v>369037.88728096255</v>
      </c>
      <c r="E207" s="21">
        <v>1391465.6513226698</v>
      </c>
      <c r="H207" s="21">
        <v>53053.01648028251</v>
      </c>
      <c r="I207" s="21">
        <v>1384328.4811377623</v>
      </c>
      <c r="J207" s="21">
        <v>118461.56444967625</v>
      </c>
      <c r="K207" s="21">
        <v>2580593.0850966154</v>
      </c>
      <c r="M207" s="21">
        <f t="shared" si="30"/>
        <v>7619069.665</v>
      </c>
      <c r="N207" s="16">
        <f t="shared" si="31"/>
        <v>0.06097439856</v>
      </c>
      <c r="O207" s="16">
        <f t="shared" si="32"/>
        <v>1</v>
      </c>
      <c r="P207" s="19" t="s">
        <v>34</v>
      </c>
    </row>
    <row r="208" ht="15.0" customHeight="1">
      <c r="A208" s="13" t="s">
        <v>35</v>
      </c>
      <c r="B208" s="21">
        <v>785938.2688419959</v>
      </c>
      <c r="C208" s="21">
        <v>700249.331005272</v>
      </c>
      <c r="D208" s="21">
        <v>296368.63412553025</v>
      </c>
      <c r="E208" s="21">
        <v>1153359.2276627908</v>
      </c>
      <c r="H208" s="21">
        <v>42442.41318422601</v>
      </c>
      <c r="I208" s="21">
        <v>1100072.8416731711</v>
      </c>
      <c r="J208" s="21">
        <v>94769.25155974102</v>
      </c>
      <c r="K208" s="21">
        <v>2208782.4159980225</v>
      </c>
      <c r="M208" s="21">
        <f t="shared" si="30"/>
        <v>6381982.384</v>
      </c>
      <c r="N208" s="16">
        <f t="shared" si="31"/>
        <v>0.05107415401</v>
      </c>
      <c r="O208" s="16">
        <f t="shared" si="32"/>
        <v>0.8376327642</v>
      </c>
      <c r="P208" s="17" t="s">
        <v>35</v>
      </c>
    </row>
    <row r="209" ht="15.0" customHeight="1">
      <c r="A209" s="18" t="s">
        <v>36</v>
      </c>
      <c r="B209" s="21">
        <v>972407.160941204</v>
      </c>
      <c r="C209" s="21">
        <v>745207.9696629106</v>
      </c>
      <c r="D209" s="21">
        <v>369037.88728096255</v>
      </c>
      <c r="E209" s="21">
        <v>1391465.6513226698</v>
      </c>
      <c r="H209" s="21">
        <v>53053.01648028251</v>
      </c>
      <c r="I209" s="21">
        <v>1384328.4811377623</v>
      </c>
      <c r="J209" s="21">
        <v>118461.56444967625</v>
      </c>
      <c r="K209" s="21">
        <v>2580593.0850966154</v>
      </c>
      <c r="M209" s="21">
        <f t="shared" si="30"/>
        <v>7614554.816</v>
      </c>
      <c r="N209" s="16">
        <f t="shared" si="31"/>
        <v>0.06093826682</v>
      </c>
      <c r="O209" s="16">
        <f t="shared" si="32"/>
        <v>0.9994074278</v>
      </c>
      <c r="P209" s="19" t="s">
        <v>36</v>
      </c>
    </row>
    <row r="210" ht="15.0" customHeight="1">
      <c r="A210" s="13" t="s">
        <v>38</v>
      </c>
      <c r="B210" s="21">
        <f t="shared" ref="B210:O210" si="33">SUM(B192:B209)</f>
        <v>15945769.81</v>
      </c>
      <c r="C210" s="21">
        <f t="shared" si="33"/>
        <v>12346779.32</v>
      </c>
      <c r="D210" s="21">
        <f t="shared" si="33"/>
        <v>6079129.787</v>
      </c>
      <c r="E210" s="21">
        <f t="shared" si="33"/>
        <v>22405041.28</v>
      </c>
      <c r="F210" s="21">
        <f t="shared" si="33"/>
        <v>0</v>
      </c>
      <c r="G210" s="21">
        <f t="shared" si="33"/>
        <v>0</v>
      </c>
      <c r="H210" s="21">
        <f t="shared" si="33"/>
        <v>901370.75</v>
      </c>
      <c r="I210" s="21">
        <f t="shared" si="33"/>
        <v>22513513.38</v>
      </c>
      <c r="J210" s="21">
        <f t="shared" si="33"/>
        <v>2012661.98</v>
      </c>
      <c r="K210" s="21">
        <f t="shared" si="33"/>
        <v>42750958.26</v>
      </c>
      <c r="L210" s="21">
        <f t="shared" si="33"/>
        <v>0</v>
      </c>
      <c r="M210" s="21">
        <f t="shared" si="33"/>
        <v>124955224.6</v>
      </c>
      <c r="N210" s="12">
        <f t="shared" si="33"/>
        <v>1</v>
      </c>
      <c r="O210" s="12">
        <f t="shared" si="33"/>
        <v>16.40032577</v>
      </c>
      <c r="P210" s="17"/>
    </row>
    <row r="213" ht="15.0" customHeight="1">
      <c r="A213" s="3" t="s">
        <v>3</v>
      </c>
      <c r="B213" s="6" t="s">
        <v>306</v>
      </c>
      <c r="C213" s="6" t="s">
        <v>388</v>
      </c>
      <c r="D213" s="6" t="s">
        <v>309</v>
      </c>
      <c r="E213" s="6" t="s">
        <v>389</v>
      </c>
      <c r="F213" s="6"/>
      <c r="G213" s="6" t="s">
        <v>155</v>
      </c>
      <c r="H213" s="6" t="s">
        <v>205</v>
      </c>
      <c r="I213" s="6" t="s">
        <v>206</v>
      </c>
      <c r="J213" s="9" t="s">
        <v>390</v>
      </c>
      <c r="K213" s="9" t="s">
        <v>208</v>
      </c>
      <c r="L213" s="6" t="s">
        <v>121</v>
      </c>
      <c r="M213" s="6" t="s">
        <v>4</v>
      </c>
      <c r="N213" s="11" t="s">
        <v>15</v>
      </c>
      <c r="O213" s="11" t="s">
        <v>16</v>
      </c>
      <c r="P213" s="11" t="s">
        <v>17</v>
      </c>
    </row>
    <row r="214" ht="15.0" customHeight="1">
      <c r="A214" s="13" t="s">
        <v>5</v>
      </c>
      <c r="B214" s="82">
        <v>571553.7640184497</v>
      </c>
      <c r="C214" s="82">
        <v>1079409.4638513152</v>
      </c>
      <c r="D214" s="82">
        <v>1512661.7593548803</v>
      </c>
      <c r="E214" s="82">
        <v>335302.8301004732</v>
      </c>
      <c r="H214" s="15">
        <v>70748.7798665858</v>
      </c>
      <c r="I214" s="21">
        <v>1413903.1255651575</v>
      </c>
      <c r="J214" s="15">
        <v>107457.60400242571</v>
      </c>
      <c r="K214" s="15">
        <v>2084546.993189482</v>
      </c>
      <c r="M214" s="36">
        <f t="shared" ref="M214:M231" si="34">SUM(B214:L214)</f>
        <v>7175584.32</v>
      </c>
      <c r="N214" s="16">
        <f t="shared" ref="N214:N231" si="35">M214/SUM($M$214:$M$231)</f>
        <v>0.06050397572</v>
      </c>
      <c r="O214" s="16">
        <f t="shared" ref="O214:O231" si="36">N214/$N$219</f>
        <v>1</v>
      </c>
      <c r="P214" s="17" t="s">
        <v>5</v>
      </c>
    </row>
    <row r="215" ht="15.0" customHeight="1">
      <c r="A215" s="18" t="s">
        <v>18</v>
      </c>
      <c r="B215" s="82">
        <v>571553.7640184497</v>
      </c>
      <c r="C215" s="82">
        <v>1079409.4638513152</v>
      </c>
      <c r="D215" s="82">
        <v>1512661.7593548803</v>
      </c>
      <c r="E215" s="82">
        <v>335302.8301004732</v>
      </c>
      <c r="H215" s="15">
        <v>70748.7798665858</v>
      </c>
      <c r="I215" s="21">
        <v>1413903.1255651575</v>
      </c>
      <c r="J215" s="15">
        <v>107457.60400242571</v>
      </c>
      <c r="K215" s="15">
        <v>2084546.993189482</v>
      </c>
      <c r="M215" s="36">
        <f t="shared" si="34"/>
        <v>7175584.32</v>
      </c>
      <c r="N215" s="16">
        <f t="shared" si="35"/>
        <v>0.06050397572</v>
      </c>
      <c r="O215" s="16">
        <f t="shared" si="36"/>
        <v>1</v>
      </c>
      <c r="P215" s="19" t="s">
        <v>18</v>
      </c>
    </row>
    <row r="216" ht="15.0" customHeight="1">
      <c r="A216" s="13" t="s">
        <v>20</v>
      </c>
      <c r="B216" s="82">
        <v>571553.7640184497</v>
      </c>
      <c r="C216" s="82">
        <v>1079409.4638513154</v>
      </c>
      <c r="D216" s="82">
        <v>1512661.7593548803</v>
      </c>
      <c r="E216" s="82">
        <v>335302.8301004732</v>
      </c>
      <c r="H216" s="15">
        <v>70748.7798665858</v>
      </c>
      <c r="I216" s="21">
        <v>1413903.1255651575</v>
      </c>
      <c r="J216" s="15">
        <v>107457.60400242571</v>
      </c>
      <c r="K216" s="15">
        <v>2084546.993189482</v>
      </c>
      <c r="M216" s="36">
        <f t="shared" si="34"/>
        <v>7175584.32</v>
      </c>
      <c r="N216" s="16">
        <f t="shared" si="35"/>
        <v>0.06050397572</v>
      </c>
      <c r="O216" s="16">
        <f t="shared" si="36"/>
        <v>1</v>
      </c>
      <c r="P216" s="17" t="s">
        <v>20</v>
      </c>
    </row>
    <row r="217" ht="15.0" customHeight="1">
      <c r="A217" s="18" t="s">
        <v>21</v>
      </c>
      <c r="B217" s="82">
        <v>96915.00902614213</v>
      </c>
      <c r="C217" s="82">
        <v>34857.24931502643</v>
      </c>
      <c r="D217" s="82">
        <v>555490.4819829823</v>
      </c>
      <c r="E217" s="82">
        <v>118996.78141322483</v>
      </c>
      <c r="H217" s="15">
        <v>70748.7798665858</v>
      </c>
      <c r="I217" s="21">
        <v>348933.7559551551</v>
      </c>
      <c r="J217" s="15">
        <v>107457.60400242571</v>
      </c>
      <c r="K217" s="15">
        <v>1984496.2006684165</v>
      </c>
      <c r="M217" s="36">
        <f t="shared" si="34"/>
        <v>3317895.862</v>
      </c>
      <c r="N217" s="16">
        <f t="shared" si="35"/>
        <v>0.02797624301</v>
      </c>
      <c r="O217" s="16">
        <f t="shared" si="36"/>
        <v>0.4623868544</v>
      </c>
      <c r="P217" s="19" t="s">
        <v>21</v>
      </c>
    </row>
    <row r="218" ht="15.0" customHeight="1">
      <c r="A218" s="13" t="s">
        <v>22</v>
      </c>
      <c r="B218" s="82">
        <v>571553.7640184497</v>
      </c>
      <c r="C218" s="82">
        <v>1075521.5244400352</v>
      </c>
      <c r="D218" s="82">
        <v>1385379.8931923278</v>
      </c>
      <c r="E218" s="82">
        <v>303006.25391039386</v>
      </c>
      <c r="H218" s="15">
        <v>51646.609302607634</v>
      </c>
      <c r="I218" s="21">
        <v>1388433.2602796739</v>
      </c>
      <c r="J218" s="15">
        <v>78444.05092177077</v>
      </c>
      <c r="K218" s="15">
        <v>1659430.694107561</v>
      </c>
      <c r="M218" s="36">
        <f t="shared" si="34"/>
        <v>6513416.05</v>
      </c>
      <c r="N218" s="16">
        <f t="shared" si="35"/>
        <v>0.05492062374</v>
      </c>
      <c r="O218" s="16">
        <f t="shared" si="36"/>
        <v>0.9077192546</v>
      </c>
      <c r="P218" s="17" t="s">
        <v>22</v>
      </c>
    </row>
    <row r="219" ht="15.0" customHeight="1">
      <c r="A219" s="18" t="s">
        <v>23</v>
      </c>
      <c r="B219" s="82">
        <v>571553.7640184497</v>
      </c>
      <c r="C219" s="82">
        <v>1079409.4638513152</v>
      </c>
      <c r="D219" s="82">
        <v>1512661.7593548803</v>
      </c>
      <c r="E219" s="82">
        <v>335302.8301004732</v>
      </c>
      <c r="H219" s="15">
        <v>70748.7798665858</v>
      </c>
      <c r="I219" s="21">
        <v>1413903.1255651575</v>
      </c>
      <c r="J219" s="15">
        <v>107457.60400242571</v>
      </c>
      <c r="K219" s="15">
        <v>2084546.993189482</v>
      </c>
      <c r="M219" s="36">
        <f t="shared" si="34"/>
        <v>7175584.32</v>
      </c>
      <c r="N219" s="16">
        <f t="shared" si="35"/>
        <v>0.06050397572</v>
      </c>
      <c r="O219" s="16">
        <f t="shared" si="36"/>
        <v>1</v>
      </c>
      <c r="P219" s="19" t="s">
        <v>23</v>
      </c>
    </row>
    <row r="220" ht="15.0" customHeight="1">
      <c r="A220" s="13" t="s">
        <v>24</v>
      </c>
      <c r="B220" s="82">
        <v>506365.2741299073</v>
      </c>
      <c r="C220" s="82">
        <v>795987.8228296789</v>
      </c>
      <c r="D220" s="82">
        <v>1184683.8544119033</v>
      </c>
      <c r="E220" s="82">
        <v>252616.41498401717</v>
      </c>
      <c r="H220" s="15">
        <v>51646.609302607634</v>
      </c>
      <c r="I220" s="21">
        <v>1042210.3352376078</v>
      </c>
      <c r="J220" s="15">
        <v>78444.05092177077</v>
      </c>
      <c r="K220" s="15">
        <v>1521719.305028322</v>
      </c>
      <c r="M220" s="36">
        <f t="shared" si="34"/>
        <v>5433673.667</v>
      </c>
      <c r="N220" s="16">
        <f t="shared" si="35"/>
        <v>0.04581631892</v>
      </c>
      <c r="O220" s="16">
        <f t="shared" si="36"/>
        <v>0.7572447657</v>
      </c>
      <c r="P220" s="19" t="s">
        <v>24</v>
      </c>
    </row>
    <row r="221" ht="15.0" customHeight="1">
      <c r="A221" s="18" t="s">
        <v>25</v>
      </c>
      <c r="B221" s="82">
        <v>571553.7640184497</v>
      </c>
      <c r="C221" s="82">
        <v>1079409.4638513152</v>
      </c>
      <c r="D221" s="82">
        <v>1512661.7593548803</v>
      </c>
      <c r="E221" s="82">
        <v>335302.8301004732</v>
      </c>
      <c r="H221" s="15">
        <v>70748.7798665858</v>
      </c>
      <c r="I221" s="21">
        <v>1413903.1255651575</v>
      </c>
      <c r="J221" s="15">
        <v>107457.60400242571</v>
      </c>
      <c r="K221" s="15">
        <v>2084546.993189482</v>
      </c>
      <c r="M221" s="36">
        <f t="shared" si="34"/>
        <v>7175584.32</v>
      </c>
      <c r="N221" s="16">
        <f t="shared" si="35"/>
        <v>0.06050397572</v>
      </c>
      <c r="O221" s="16">
        <f t="shared" si="36"/>
        <v>1</v>
      </c>
      <c r="P221" s="19" t="s">
        <v>25</v>
      </c>
    </row>
    <row r="222" ht="15.0" customHeight="1">
      <c r="A222" s="13" t="s">
        <v>26</v>
      </c>
      <c r="B222" s="82">
        <v>571553.7640184497</v>
      </c>
      <c r="C222" s="82">
        <v>1079409.4638513152</v>
      </c>
      <c r="D222" s="82">
        <v>1512661.7593548803</v>
      </c>
      <c r="E222" s="82">
        <v>335302.8301004732</v>
      </c>
      <c r="H222" s="15">
        <v>70748.7798665858</v>
      </c>
      <c r="I222" s="21">
        <v>1413903.1255651575</v>
      </c>
      <c r="J222" s="15">
        <v>107457.60400242571</v>
      </c>
      <c r="K222" s="15">
        <v>2084546.993189482</v>
      </c>
      <c r="M222" s="36">
        <f t="shared" si="34"/>
        <v>7175584.32</v>
      </c>
      <c r="N222" s="16">
        <f t="shared" si="35"/>
        <v>0.06050397572</v>
      </c>
      <c r="O222" s="16">
        <f t="shared" si="36"/>
        <v>1</v>
      </c>
      <c r="P222" s="17" t="s">
        <v>26</v>
      </c>
    </row>
    <row r="223" ht="15.0" customHeight="1">
      <c r="A223" s="18" t="s">
        <v>27</v>
      </c>
      <c r="B223" s="82">
        <v>571553.7640184497</v>
      </c>
      <c r="C223" s="82">
        <v>1079409.4638513154</v>
      </c>
      <c r="D223" s="82">
        <v>1512661.7593548803</v>
      </c>
      <c r="E223" s="82">
        <v>335302.8301004732</v>
      </c>
      <c r="H223" s="15">
        <v>70748.7798665858</v>
      </c>
      <c r="I223" s="21">
        <v>1413903.1255651575</v>
      </c>
      <c r="J223" s="15">
        <v>107457.60400242571</v>
      </c>
      <c r="K223" s="15">
        <v>2084546.993189482</v>
      </c>
      <c r="M223" s="36">
        <f t="shared" si="34"/>
        <v>7175584.32</v>
      </c>
      <c r="N223" s="16">
        <f t="shared" si="35"/>
        <v>0.06050397572</v>
      </c>
      <c r="O223" s="16">
        <f t="shared" si="36"/>
        <v>1</v>
      </c>
      <c r="P223" s="19" t="s">
        <v>27</v>
      </c>
    </row>
    <row r="224" ht="15.0" customHeight="1">
      <c r="A224" s="13" t="s">
        <v>28</v>
      </c>
      <c r="B224" s="82">
        <v>420813.4326550137</v>
      </c>
      <c r="C224" s="82">
        <v>769084.8458808825</v>
      </c>
      <c r="D224" s="82">
        <v>801191.9514912118</v>
      </c>
      <c r="E224" s="82">
        <v>166037.15059139548</v>
      </c>
      <c r="H224" s="15">
        <v>51646.609302607634</v>
      </c>
      <c r="I224" s="21">
        <v>806038.2906825991</v>
      </c>
      <c r="J224" s="15">
        <v>78444.05092177077</v>
      </c>
      <c r="K224" s="15">
        <v>1521719.305028322</v>
      </c>
      <c r="M224" s="36">
        <f t="shared" si="34"/>
        <v>4614975.637</v>
      </c>
      <c r="N224" s="16">
        <f t="shared" si="35"/>
        <v>0.03891312002</v>
      </c>
      <c r="O224" s="16">
        <f t="shared" si="36"/>
        <v>0.6431498023</v>
      </c>
      <c r="P224" s="17" t="s">
        <v>28</v>
      </c>
    </row>
    <row r="225" ht="15.0" customHeight="1">
      <c r="A225" s="18" t="s">
        <v>29</v>
      </c>
      <c r="B225" s="82">
        <v>571553.7640184497</v>
      </c>
      <c r="C225" s="82">
        <v>1079409.4638513152</v>
      </c>
      <c r="D225" s="82">
        <v>1512661.7593548803</v>
      </c>
      <c r="E225" s="82">
        <v>335302.8301004732</v>
      </c>
      <c r="H225" s="15">
        <v>70748.7798665858</v>
      </c>
      <c r="I225" s="21">
        <v>1413903.1255651575</v>
      </c>
      <c r="J225" s="15">
        <v>107457.60400242571</v>
      </c>
      <c r="K225" s="15">
        <v>2084546.993189482</v>
      </c>
      <c r="M225" s="36">
        <f t="shared" si="34"/>
        <v>7175584.32</v>
      </c>
      <c r="N225" s="16">
        <f t="shared" si="35"/>
        <v>0.06050397572</v>
      </c>
      <c r="O225" s="16">
        <f t="shared" si="36"/>
        <v>1</v>
      </c>
      <c r="P225" s="19" t="s">
        <v>29</v>
      </c>
    </row>
    <row r="226" ht="15.0" customHeight="1">
      <c r="A226" s="13" t="s">
        <v>30</v>
      </c>
      <c r="B226" s="82">
        <v>571553.7640184497</v>
      </c>
      <c r="C226" s="82">
        <v>1079409.4638513154</v>
      </c>
      <c r="D226" s="82">
        <v>1512661.7593548803</v>
      </c>
      <c r="E226" s="82">
        <v>335302.8301004732</v>
      </c>
      <c r="H226" s="15">
        <v>70748.7798665858</v>
      </c>
      <c r="I226" s="21">
        <v>1413903.1255651575</v>
      </c>
      <c r="J226" s="15">
        <v>107457.60400242571</v>
      </c>
      <c r="K226" s="15">
        <v>2084546.993189482</v>
      </c>
      <c r="M226" s="36">
        <f t="shared" si="34"/>
        <v>7175584.32</v>
      </c>
      <c r="N226" s="16">
        <f t="shared" si="35"/>
        <v>0.06050397572</v>
      </c>
      <c r="O226" s="16">
        <f t="shared" si="36"/>
        <v>1</v>
      </c>
      <c r="P226" s="17" t="s">
        <v>30</v>
      </c>
    </row>
    <row r="227" ht="15.0" customHeight="1">
      <c r="A227" s="18" t="s">
        <v>31</v>
      </c>
      <c r="B227" s="82">
        <v>571553.7640184497</v>
      </c>
      <c r="C227" s="82">
        <v>1079409.4638513152</v>
      </c>
      <c r="D227" s="82">
        <v>1512661.7593548803</v>
      </c>
      <c r="E227" s="82">
        <v>335302.8301004732</v>
      </c>
      <c r="H227" s="15">
        <v>70748.7798665858</v>
      </c>
      <c r="I227" s="21">
        <v>1413903.1255651575</v>
      </c>
      <c r="J227" s="15">
        <v>107457.60400242571</v>
      </c>
      <c r="K227" s="15">
        <v>2084546.993189482</v>
      </c>
      <c r="M227" s="36">
        <f t="shared" si="34"/>
        <v>7175584.32</v>
      </c>
      <c r="N227" s="16">
        <f t="shared" si="35"/>
        <v>0.06050397572</v>
      </c>
      <c r="O227" s="16">
        <f t="shared" si="36"/>
        <v>1</v>
      </c>
      <c r="P227" s="19" t="s">
        <v>31</v>
      </c>
    </row>
    <row r="228" ht="15.0" customHeight="1">
      <c r="A228" s="13" t="s">
        <v>32</v>
      </c>
      <c r="B228" s="82">
        <v>571553.7640184497</v>
      </c>
      <c r="C228" s="82">
        <v>1079409.4638513152</v>
      </c>
      <c r="D228" s="82">
        <v>1512661.7593548803</v>
      </c>
      <c r="E228" s="82">
        <v>335302.8301004732</v>
      </c>
      <c r="H228" s="15">
        <v>70748.7798665858</v>
      </c>
      <c r="I228" s="21">
        <v>1413903.1255651575</v>
      </c>
      <c r="J228" s="15">
        <v>107457.60400242571</v>
      </c>
      <c r="K228" s="15">
        <v>2084546.993189482</v>
      </c>
      <c r="M228" s="36">
        <f t="shared" si="34"/>
        <v>7175584.32</v>
      </c>
      <c r="N228" s="16">
        <f t="shared" si="35"/>
        <v>0.06050397572</v>
      </c>
      <c r="O228" s="16">
        <f t="shared" si="36"/>
        <v>1</v>
      </c>
      <c r="P228" s="17" t="s">
        <v>32</v>
      </c>
    </row>
    <row r="229" ht="15.0" customHeight="1">
      <c r="A229" s="18" t="s">
        <v>34</v>
      </c>
      <c r="B229" s="82">
        <v>571553.7640184497</v>
      </c>
      <c r="C229" s="82">
        <v>1079409.4638513152</v>
      </c>
      <c r="D229" s="82">
        <v>1512661.7593548803</v>
      </c>
      <c r="E229" s="82">
        <v>335302.8301004732</v>
      </c>
      <c r="H229" s="15">
        <v>70748.7798665858</v>
      </c>
      <c r="I229" s="21">
        <v>1413903.1255651575</v>
      </c>
      <c r="J229" s="15">
        <v>107457.60400242571</v>
      </c>
      <c r="K229" s="15">
        <v>2084546.993189482</v>
      </c>
      <c r="M229" s="36">
        <f t="shared" si="34"/>
        <v>7175584.32</v>
      </c>
      <c r="N229" s="16">
        <f t="shared" si="35"/>
        <v>0.06050397572</v>
      </c>
      <c r="O229" s="16">
        <f t="shared" si="36"/>
        <v>1</v>
      </c>
      <c r="P229" s="19" t="s">
        <v>34</v>
      </c>
    </row>
    <row r="230" ht="15.0" customHeight="1">
      <c r="A230" s="13" t="s">
        <v>35</v>
      </c>
      <c r="B230" s="82">
        <v>523265.99373064056</v>
      </c>
      <c r="C230" s="82">
        <v>869467.5075389921</v>
      </c>
      <c r="D230" s="82">
        <v>1269715.1631008235</v>
      </c>
      <c r="E230" s="82">
        <v>274053.6337179132</v>
      </c>
      <c r="H230" s="15">
        <v>56599.02389326863</v>
      </c>
      <c r="I230" s="21">
        <v>1138575.1327299355</v>
      </c>
      <c r="J230" s="15">
        <v>85966.08320194056</v>
      </c>
      <c r="K230" s="15">
        <v>1667637.5945515858</v>
      </c>
      <c r="M230" s="36">
        <f t="shared" si="34"/>
        <v>5885280.132</v>
      </c>
      <c r="N230" s="16">
        <f t="shared" si="35"/>
        <v>0.04962422994</v>
      </c>
      <c r="O230" s="16">
        <f t="shared" si="36"/>
        <v>0.8201813079</v>
      </c>
      <c r="P230" s="17" t="s">
        <v>35</v>
      </c>
    </row>
    <row r="231" ht="15.0" customHeight="1">
      <c r="A231" s="18" t="s">
        <v>36</v>
      </c>
      <c r="B231" s="82">
        <v>571553.7640184497</v>
      </c>
      <c r="C231" s="82">
        <v>1079437.6510795858</v>
      </c>
      <c r="D231" s="82">
        <v>1456572.5367093876</v>
      </c>
      <c r="E231" s="82">
        <v>335368.1084773829</v>
      </c>
      <c r="H231" s="15">
        <v>35374.3899332929</v>
      </c>
      <c r="I231" s="21">
        <v>1413903.1255651575</v>
      </c>
      <c r="J231" s="15">
        <v>53728.802001212855</v>
      </c>
      <c r="K231" s="15">
        <v>1778714.4107420025</v>
      </c>
      <c r="M231" s="36">
        <f t="shared" si="34"/>
        <v>6724652.789</v>
      </c>
      <c r="N231" s="16">
        <f t="shared" si="35"/>
        <v>0.05670175569</v>
      </c>
      <c r="O231" s="16">
        <f t="shared" si="36"/>
        <v>0.9371575176</v>
      </c>
      <c r="P231" s="19" t="s">
        <v>36</v>
      </c>
    </row>
    <row r="232" ht="15.0" customHeight="1">
      <c r="A232" s="13" t="s">
        <v>38</v>
      </c>
      <c r="B232" s="36">
        <f t="shared" ref="B232:O232" si="37">SUM(B214:B231)</f>
        <v>9549112.406</v>
      </c>
      <c r="C232" s="36">
        <f t="shared" si="37"/>
        <v>17577270.17</v>
      </c>
      <c r="D232" s="36">
        <f t="shared" si="37"/>
        <v>24804974.99</v>
      </c>
      <c r="E232" s="36">
        <f t="shared" si="37"/>
        <v>5473712.304</v>
      </c>
      <c r="F232" s="21">
        <f t="shared" si="37"/>
        <v>0</v>
      </c>
      <c r="G232" s="21">
        <f t="shared" si="37"/>
        <v>0</v>
      </c>
      <c r="H232" s="20">
        <f t="shared" si="37"/>
        <v>1166647.38</v>
      </c>
      <c r="I232" s="21">
        <f t="shared" si="37"/>
        <v>23104931.41</v>
      </c>
      <c r="J232" s="20">
        <f t="shared" si="37"/>
        <v>1771975.89</v>
      </c>
      <c r="K232" s="20">
        <f t="shared" si="37"/>
        <v>35148281.43</v>
      </c>
      <c r="L232" s="21">
        <f t="shared" si="37"/>
        <v>0</v>
      </c>
      <c r="M232" s="36">
        <f t="shared" si="37"/>
        <v>118596906</v>
      </c>
      <c r="N232" s="12">
        <f t="shared" si="37"/>
        <v>1</v>
      </c>
      <c r="O232" s="12">
        <f t="shared" si="37"/>
        <v>16.5278395</v>
      </c>
      <c r="P232" s="17"/>
    </row>
    <row r="235" ht="15.0" customHeight="1">
      <c r="A235" s="3" t="s">
        <v>3</v>
      </c>
      <c r="B235" s="6" t="s">
        <v>424</v>
      </c>
      <c r="C235" s="6" t="s">
        <v>425</v>
      </c>
      <c r="D235" s="6" t="s">
        <v>426</v>
      </c>
      <c r="E235" s="6" t="s">
        <v>427</v>
      </c>
      <c r="F235" s="6" t="s">
        <v>10</v>
      </c>
      <c r="G235" s="6" t="s">
        <v>428</v>
      </c>
      <c r="H235" s="6" t="s">
        <v>334</v>
      </c>
      <c r="I235" s="6" t="s">
        <v>245</v>
      </c>
      <c r="J235" s="6" t="s">
        <v>429</v>
      </c>
      <c r="K235" s="9" t="s">
        <v>251</v>
      </c>
      <c r="L235" s="9" t="s">
        <v>335</v>
      </c>
      <c r="M235" s="6" t="s">
        <v>121</v>
      </c>
      <c r="N235" s="6" t="s">
        <v>4</v>
      </c>
      <c r="O235" s="11" t="s">
        <v>15</v>
      </c>
      <c r="P235" s="11" t="s">
        <v>16</v>
      </c>
      <c r="Q235" s="11" t="s">
        <v>17</v>
      </c>
    </row>
    <row r="236" ht="15.0" customHeight="1">
      <c r="A236" s="13" t="s">
        <v>5</v>
      </c>
      <c r="B236" s="15">
        <v>85615.32124069826</v>
      </c>
      <c r="C236" s="15">
        <v>174521.53212110564</v>
      </c>
      <c r="D236" s="15">
        <v>366627.7440399372</v>
      </c>
      <c r="E236" s="15">
        <v>2040946.6630340647</v>
      </c>
      <c r="F236" s="15">
        <v>559695.0364537054</v>
      </c>
      <c r="G236" s="15">
        <v>97956.97736884843</v>
      </c>
      <c r="H236" s="15">
        <v>396730.7870768107</v>
      </c>
      <c r="I236" s="15">
        <v>69967.55869768099</v>
      </c>
      <c r="J236" s="15">
        <v>1925332.2768362912</v>
      </c>
      <c r="K236" s="15">
        <v>146936.04109498503</v>
      </c>
      <c r="L236" s="15">
        <v>2768444.3594581075</v>
      </c>
      <c r="N236" s="15">
        <f t="shared" ref="N236:N253" si="38">SUM(B236:M236)</f>
        <v>8632774.297</v>
      </c>
      <c r="O236" s="16">
        <f t="shared" ref="O236:O253" si="39">N236/SUM($N$236:$N$253)</f>
        <v>0.06000281202</v>
      </c>
      <c r="P236" s="16">
        <f t="shared" ref="P236:P253" si="40">O236/$O$236</f>
        <v>1</v>
      </c>
      <c r="Q236" s="17" t="s">
        <v>5</v>
      </c>
    </row>
    <row r="237" ht="15.0" customHeight="1">
      <c r="A237" s="18" t="s">
        <v>18</v>
      </c>
      <c r="B237" s="15">
        <v>85615.32124069826</v>
      </c>
      <c r="C237" s="15">
        <v>174521.53212110564</v>
      </c>
      <c r="D237" s="15">
        <v>366627.7440399372</v>
      </c>
      <c r="E237" s="15">
        <v>2040946.6630340647</v>
      </c>
      <c r="F237" s="15">
        <v>559695.0364537054</v>
      </c>
      <c r="G237" s="15">
        <v>97956.97736884843</v>
      </c>
      <c r="H237" s="15">
        <v>396730.7870768107</v>
      </c>
      <c r="I237" s="15">
        <v>69967.55869768099</v>
      </c>
      <c r="J237" s="15">
        <v>1925332.2768362912</v>
      </c>
      <c r="K237" s="15">
        <v>146936.04109498503</v>
      </c>
      <c r="L237" s="15">
        <v>2768444.3594581075</v>
      </c>
      <c r="N237" s="20">
        <f t="shared" si="38"/>
        <v>8632774.297</v>
      </c>
      <c r="O237" s="16">
        <f t="shared" si="39"/>
        <v>0.06000281202</v>
      </c>
      <c r="P237" s="16">
        <f t="shared" si="40"/>
        <v>1</v>
      </c>
      <c r="Q237" s="19" t="s">
        <v>18</v>
      </c>
    </row>
    <row r="238" ht="15.0" customHeight="1">
      <c r="A238" s="13" t="s">
        <v>20</v>
      </c>
      <c r="B238" s="15">
        <v>85615.32124069826</v>
      </c>
      <c r="C238" s="15">
        <v>174521.53212110564</v>
      </c>
      <c r="D238" s="15">
        <v>366627.7440399373</v>
      </c>
      <c r="E238" s="15">
        <v>2040946.6630340647</v>
      </c>
      <c r="F238" s="15">
        <v>559695.0364537054</v>
      </c>
      <c r="G238" s="15">
        <v>97956.97736884843</v>
      </c>
      <c r="H238" s="15">
        <v>396730.7870768107</v>
      </c>
      <c r="I238" s="15">
        <v>69967.55869768099</v>
      </c>
      <c r="J238" s="15">
        <v>1925332.2768362912</v>
      </c>
      <c r="K238" s="15">
        <v>146936.04109498503</v>
      </c>
      <c r="L238" s="15">
        <v>2768444.3594581075</v>
      </c>
      <c r="N238" s="20">
        <f t="shared" si="38"/>
        <v>8632774.297</v>
      </c>
      <c r="O238" s="16">
        <f t="shared" si="39"/>
        <v>0.06000281202</v>
      </c>
      <c r="P238" s="16">
        <f t="shared" si="40"/>
        <v>1</v>
      </c>
      <c r="Q238" s="17" t="s">
        <v>20</v>
      </c>
    </row>
    <row r="239" ht="15.0" customHeight="1">
      <c r="A239" s="18" t="s">
        <v>21</v>
      </c>
      <c r="B239" s="15">
        <v>0.0</v>
      </c>
      <c r="C239" s="15">
        <v>117884.28671082197</v>
      </c>
      <c r="D239" s="15">
        <v>360752.635787391</v>
      </c>
      <c r="E239" s="15">
        <v>861547.2565550257</v>
      </c>
      <c r="F239" s="15">
        <v>442145.8213205645</v>
      </c>
      <c r="G239" s="15">
        <v>62180.264681973655</v>
      </c>
      <c r="H239" s="15">
        <v>394022.3523308845</v>
      </c>
      <c r="I239" s="15">
        <v>69967.55869768099</v>
      </c>
      <c r="J239" s="15">
        <v>1903909.332264864</v>
      </c>
      <c r="K239" s="15">
        <v>146936.04109498503</v>
      </c>
      <c r="L239" s="15">
        <v>1857761.0537712283</v>
      </c>
      <c r="N239" s="20">
        <f t="shared" si="38"/>
        <v>6217106.603</v>
      </c>
      <c r="O239" s="16">
        <f t="shared" si="39"/>
        <v>0.04321251384</v>
      </c>
      <c r="P239" s="16">
        <f t="shared" si="40"/>
        <v>0.7201748116</v>
      </c>
      <c r="Q239" s="19" t="s">
        <v>21</v>
      </c>
    </row>
    <row r="240" ht="15.0" customHeight="1">
      <c r="A240" s="13" t="s">
        <v>22</v>
      </c>
      <c r="B240" s="15">
        <v>85615.32124069826</v>
      </c>
      <c r="C240" s="15">
        <v>174521.53212110564</v>
      </c>
      <c r="D240" s="15">
        <v>274955.5588503414</v>
      </c>
      <c r="E240" s="15">
        <v>1937588.7615680562</v>
      </c>
      <c r="F240" s="15">
        <v>446915.6725239249</v>
      </c>
      <c r="G240" s="15">
        <v>80191.18745971311</v>
      </c>
      <c r="H240" s="15">
        <v>291463.18522124714</v>
      </c>
      <c r="I240" s="15">
        <v>49976.827641200696</v>
      </c>
      <c r="J240" s="15">
        <v>1437621.1176051444</v>
      </c>
      <c r="K240" s="15">
        <v>104954.31506784644</v>
      </c>
      <c r="L240" s="15">
        <v>2282847.1090484075</v>
      </c>
      <c r="N240" s="20">
        <f t="shared" si="38"/>
        <v>7166650.588</v>
      </c>
      <c r="O240" s="16">
        <f t="shared" si="39"/>
        <v>0.04981239788</v>
      </c>
      <c r="P240" s="16">
        <f t="shared" si="40"/>
        <v>0.8301677238</v>
      </c>
      <c r="Q240" s="17" t="s">
        <v>22</v>
      </c>
    </row>
    <row r="241" ht="15.0" customHeight="1">
      <c r="A241" s="18" t="s">
        <v>23</v>
      </c>
      <c r="B241" s="15">
        <v>85615.32124069826</v>
      </c>
      <c r="C241" s="15">
        <v>174521.53212110564</v>
      </c>
      <c r="D241" s="15">
        <v>366627.7440399372</v>
      </c>
      <c r="E241" s="15">
        <v>2040946.6630340647</v>
      </c>
      <c r="F241" s="15">
        <v>559695.0364537054</v>
      </c>
      <c r="G241" s="15">
        <v>97956.97736884843</v>
      </c>
      <c r="H241" s="15">
        <v>396730.7870768107</v>
      </c>
      <c r="I241" s="15">
        <v>69967.55869768099</v>
      </c>
      <c r="J241" s="15">
        <v>1925332.2768362914</v>
      </c>
      <c r="K241" s="15">
        <v>146936.04109498503</v>
      </c>
      <c r="L241" s="15">
        <v>2768444.3594581075</v>
      </c>
      <c r="N241" s="20">
        <f t="shared" si="38"/>
        <v>8632774.297</v>
      </c>
      <c r="O241" s="16">
        <f t="shared" si="39"/>
        <v>0.06000281202</v>
      </c>
      <c r="P241" s="16">
        <f t="shared" si="40"/>
        <v>1</v>
      </c>
      <c r="Q241" s="19" t="s">
        <v>23</v>
      </c>
    </row>
    <row r="242" ht="15.0" customHeight="1">
      <c r="A242" s="13" t="s">
        <v>24</v>
      </c>
      <c r="B242" s="15">
        <v>62499.18450570974</v>
      </c>
      <c r="C242" s="15">
        <v>127400.71844840712</v>
      </c>
      <c r="D242" s="15">
        <v>267638.25314915413</v>
      </c>
      <c r="E242" s="15">
        <v>1492750.1019551514</v>
      </c>
      <c r="F242" s="15">
        <v>408577.37661120493</v>
      </c>
      <c r="G242" s="15">
        <v>70531.47503425693</v>
      </c>
      <c r="H242" s="15">
        <v>290344.7519474719</v>
      </c>
      <c r="I242" s="15">
        <v>49976.827641200696</v>
      </c>
      <c r="J242" s="15">
        <v>1405492.5620904926</v>
      </c>
      <c r="K242" s="15">
        <v>104954.31506784644</v>
      </c>
      <c r="L242" s="15">
        <v>2010788.9117111994</v>
      </c>
      <c r="N242" s="20">
        <f t="shared" si="38"/>
        <v>6290954.478</v>
      </c>
      <c r="O242" s="16">
        <f t="shared" si="39"/>
        <v>0.04372579961</v>
      </c>
      <c r="P242" s="16">
        <f t="shared" si="40"/>
        <v>0.7287291734</v>
      </c>
      <c r="Q242" s="19" t="s">
        <v>24</v>
      </c>
    </row>
    <row r="243" ht="15.0" customHeight="1">
      <c r="A243" s="18" t="s">
        <v>25</v>
      </c>
      <c r="B243" s="15">
        <v>85615.32124069826</v>
      </c>
      <c r="C243" s="15">
        <v>174521.53212110564</v>
      </c>
      <c r="D243" s="15">
        <v>366627.7440399372</v>
      </c>
      <c r="E243" s="15">
        <v>2040946.6630340647</v>
      </c>
      <c r="F243" s="15">
        <v>559695.0364537054</v>
      </c>
      <c r="G243" s="15">
        <v>97956.97736884843</v>
      </c>
      <c r="H243" s="15">
        <v>396730.7870768107</v>
      </c>
      <c r="I243" s="15">
        <v>69967.55869768099</v>
      </c>
      <c r="J243" s="15">
        <v>1925332.2768362912</v>
      </c>
      <c r="K243" s="15">
        <v>146936.04109498503</v>
      </c>
      <c r="L243" s="15">
        <v>2768444.3594581075</v>
      </c>
      <c r="N243" s="20">
        <f t="shared" si="38"/>
        <v>8632774.297</v>
      </c>
      <c r="O243" s="16">
        <f t="shared" si="39"/>
        <v>0.06000281202</v>
      </c>
      <c r="P243" s="16">
        <f t="shared" si="40"/>
        <v>1</v>
      </c>
      <c r="Q243" s="19" t="s">
        <v>25</v>
      </c>
    </row>
    <row r="244" ht="15.0" customHeight="1">
      <c r="A244" s="13" t="s">
        <v>26</v>
      </c>
      <c r="B244" s="15">
        <v>85615.32124069826</v>
      </c>
      <c r="C244" s="15">
        <v>174521.53212110564</v>
      </c>
      <c r="D244" s="15">
        <v>366627.7440399372</v>
      </c>
      <c r="E244" s="15">
        <v>2040946.6630340647</v>
      </c>
      <c r="F244" s="15">
        <v>559695.0364537054</v>
      </c>
      <c r="G244" s="15">
        <v>97956.97736884843</v>
      </c>
      <c r="H244" s="15">
        <v>396730.7870768107</v>
      </c>
      <c r="I244" s="15">
        <v>69967.55869768099</v>
      </c>
      <c r="J244" s="15">
        <v>1925332.2768362912</v>
      </c>
      <c r="K244" s="15">
        <v>146936.04109498503</v>
      </c>
      <c r="L244" s="15">
        <v>2768444.3594581075</v>
      </c>
      <c r="N244" s="20">
        <f t="shared" si="38"/>
        <v>8632774.297</v>
      </c>
      <c r="O244" s="16">
        <f t="shared" si="39"/>
        <v>0.06000281202</v>
      </c>
      <c r="P244" s="16">
        <f t="shared" si="40"/>
        <v>1</v>
      </c>
      <c r="Q244" s="17" t="s">
        <v>26</v>
      </c>
      <c r="S244" s="21">
        <f>N237/965.31</f>
        <v>8943.007218</v>
      </c>
    </row>
    <row r="245" ht="15.0" customHeight="1">
      <c r="A245" s="18" t="s">
        <v>27</v>
      </c>
      <c r="B245" s="15">
        <v>85615.32124069826</v>
      </c>
      <c r="C245" s="15">
        <v>174521.53212110564</v>
      </c>
      <c r="D245" s="15">
        <v>366627.7440399372</v>
      </c>
      <c r="E245" s="15">
        <v>2040946.6630340647</v>
      </c>
      <c r="F245" s="15">
        <v>559695.0364537054</v>
      </c>
      <c r="G245" s="15">
        <v>97956.97736884843</v>
      </c>
      <c r="H245" s="15">
        <v>396730.7870768107</v>
      </c>
      <c r="I245" s="15">
        <v>69967.55869768099</v>
      </c>
      <c r="J245" s="15">
        <v>1925332.2768362912</v>
      </c>
      <c r="K245" s="15">
        <v>146936.04109498503</v>
      </c>
      <c r="L245" s="15">
        <v>2768444.3594581075</v>
      </c>
      <c r="N245" s="20">
        <f t="shared" si="38"/>
        <v>8632774.297</v>
      </c>
      <c r="O245" s="16">
        <f t="shared" si="39"/>
        <v>0.06000281202</v>
      </c>
      <c r="P245" s="16">
        <f t="shared" si="40"/>
        <v>1</v>
      </c>
      <c r="Q245" s="19" t="s">
        <v>27</v>
      </c>
    </row>
    <row r="246" ht="15.0" customHeight="1">
      <c r="A246" s="13" t="s">
        <v>28</v>
      </c>
      <c r="B246" s="15">
        <v>62499.18450570974</v>
      </c>
      <c r="C246" s="15">
        <v>127400.71844840712</v>
      </c>
      <c r="D246" s="15">
        <v>267638.2531491542</v>
      </c>
      <c r="E246" s="15">
        <v>1435557.302035198</v>
      </c>
      <c r="F246" s="15">
        <v>391652.7922455038</v>
      </c>
      <c r="G246" s="15">
        <v>88297.26494339225</v>
      </c>
      <c r="H246" s="15">
        <v>288990.5345745088</v>
      </c>
      <c r="I246" s="15">
        <v>62181.555346758934</v>
      </c>
      <c r="J246" s="15">
        <v>1405492.5620904926</v>
      </c>
      <c r="K246" s="15">
        <v>131833.01165852795</v>
      </c>
      <c r="L246" s="15">
        <v>2051432.4228381414</v>
      </c>
      <c r="N246" s="20">
        <f t="shared" si="38"/>
        <v>6312975.602</v>
      </c>
      <c r="O246" s="16">
        <f t="shared" si="39"/>
        <v>0.04387885925</v>
      </c>
      <c r="P246" s="16">
        <f t="shared" si="40"/>
        <v>0.7312800479</v>
      </c>
      <c r="Q246" s="17" t="s">
        <v>28</v>
      </c>
    </row>
    <row r="247" ht="15.0" customHeight="1">
      <c r="A247" s="18" t="s">
        <v>29</v>
      </c>
      <c r="B247" s="15">
        <v>85615.32124069826</v>
      </c>
      <c r="C247" s="15">
        <v>174521.53212110564</v>
      </c>
      <c r="D247" s="15">
        <v>366627.7440399372</v>
      </c>
      <c r="E247" s="15">
        <v>2040946.6630340647</v>
      </c>
      <c r="F247" s="15">
        <v>559695.0364537054</v>
      </c>
      <c r="G247" s="15">
        <v>97956.97736884843</v>
      </c>
      <c r="H247" s="15">
        <v>396730.7870768107</v>
      </c>
      <c r="I247" s="15">
        <v>69967.55869768099</v>
      </c>
      <c r="J247" s="15">
        <v>1925332.2768362914</v>
      </c>
      <c r="K247" s="15">
        <v>146936.04109498503</v>
      </c>
      <c r="L247" s="15">
        <v>2768444.3594581075</v>
      </c>
      <c r="N247" s="20">
        <f t="shared" si="38"/>
        <v>8632774.297</v>
      </c>
      <c r="O247" s="16">
        <f t="shared" si="39"/>
        <v>0.06000281202</v>
      </c>
      <c r="P247" s="16">
        <f t="shared" si="40"/>
        <v>1</v>
      </c>
      <c r="Q247" s="19" t="s">
        <v>29</v>
      </c>
    </row>
    <row r="248" ht="15.0" customHeight="1">
      <c r="A248" s="13" t="s">
        <v>30</v>
      </c>
      <c r="B248" s="15">
        <v>85615.32124069826</v>
      </c>
      <c r="C248" s="15">
        <v>174521.53212110564</v>
      </c>
      <c r="D248" s="15">
        <v>366627.7440399372</v>
      </c>
      <c r="E248" s="15">
        <v>2040946.6630340647</v>
      </c>
      <c r="F248" s="15">
        <v>559695.0364537054</v>
      </c>
      <c r="G248" s="15">
        <v>97956.97736884843</v>
      </c>
      <c r="H248" s="15">
        <v>396730.7870768107</v>
      </c>
      <c r="I248" s="15">
        <v>69967.55869768099</v>
      </c>
      <c r="J248" s="15">
        <v>1925332.2768362912</v>
      </c>
      <c r="K248" s="15">
        <v>146936.04109498503</v>
      </c>
      <c r="L248" s="15">
        <v>2768444.3594581075</v>
      </c>
      <c r="N248" s="20">
        <f t="shared" si="38"/>
        <v>8632774.297</v>
      </c>
      <c r="O248" s="16">
        <f t="shared" si="39"/>
        <v>0.06000281202</v>
      </c>
      <c r="P248" s="16">
        <f t="shared" si="40"/>
        <v>1</v>
      </c>
      <c r="Q248" s="17" t="s">
        <v>30</v>
      </c>
    </row>
    <row r="249" ht="15.0" customHeight="1">
      <c r="A249" s="18" t="s">
        <v>31</v>
      </c>
      <c r="B249" s="15">
        <v>85615.32124069826</v>
      </c>
      <c r="C249" s="15">
        <v>174521.53212110564</v>
      </c>
      <c r="D249" s="15">
        <v>366627.7440399372</v>
      </c>
      <c r="E249" s="15">
        <v>2040946.6630340647</v>
      </c>
      <c r="F249" s="15">
        <v>559695.0364537054</v>
      </c>
      <c r="G249" s="15">
        <v>97956.97736884843</v>
      </c>
      <c r="H249" s="15">
        <v>396730.7870768107</v>
      </c>
      <c r="I249" s="15">
        <v>69967.55869768099</v>
      </c>
      <c r="J249" s="15">
        <v>1925332.2768362912</v>
      </c>
      <c r="K249" s="15">
        <v>146936.04109498503</v>
      </c>
      <c r="L249" s="15">
        <v>2768444.3594581075</v>
      </c>
      <c r="N249" s="20">
        <f t="shared" si="38"/>
        <v>8632774.297</v>
      </c>
      <c r="O249" s="16">
        <f t="shared" si="39"/>
        <v>0.06000281202</v>
      </c>
      <c r="P249" s="16">
        <f t="shared" si="40"/>
        <v>1</v>
      </c>
      <c r="Q249" s="19" t="s">
        <v>31</v>
      </c>
    </row>
    <row r="250" ht="15.0" customHeight="1">
      <c r="A250" s="13" t="s">
        <v>32</v>
      </c>
      <c r="B250" s="15">
        <v>85615.32124069826</v>
      </c>
      <c r="C250" s="15">
        <v>174521.53212110564</v>
      </c>
      <c r="D250" s="15">
        <v>366627.7440399372</v>
      </c>
      <c r="E250" s="15">
        <v>2040946.6630340647</v>
      </c>
      <c r="F250" s="15">
        <v>559695.0364537054</v>
      </c>
      <c r="G250" s="15">
        <v>97956.97736884843</v>
      </c>
      <c r="H250" s="15">
        <v>396730.7870768107</v>
      </c>
      <c r="I250" s="15">
        <v>69967.55869768099</v>
      </c>
      <c r="J250" s="15">
        <v>1925332.2768362914</v>
      </c>
      <c r="K250" s="15">
        <v>146936.04109498503</v>
      </c>
      <c r="L250" s="15">
        <v>2768444.3594581075</v>
      </c>
      <c r="N250" s="20">
        <f t="shared" si="38"/>
        <v>8632774.297</v>
      </c>
      <c r="O250" s="16">
        <f t="shared" si="39"/>
        <v>0.06000281202</v>
      </c>
      <c r="P250" s="16">
        <f t="shared" si="40"/>
        <v>1</v>
      </c>
      <c r="Q250" s="17" t="s">
        <v>32</v>
      </c>
    </row>
    <row r="251" ht="15.0" customHeight="1">
      <c r="A251" s="18" t="s">
        <v>34</v>
      </c>
      <c r="B251" s="15">
        <v>85615.32124069826</v>
      </c>
      <c r="C251" s="15">
        <v>174521.53212110564</v>
      </c>
      <c r="D251" s="15">
        <v>366627.7440399372</v>
      </c>
      <c r="E251" s="15">
        <v>2040946.6630340647</v>
      </c>
      <c r="F251" s="15">
        <v>559695.0364537054</v>
      </c>
      <c r="G251" s="15">
        <v>97956.97736884843</v>
      </c>
      <c r="H251" s="15">
        <v>396730.7870768107</v>
      </c>
      <c r="I251" s="15">
        <v>69967.55869768099</v>
      </c>
      <c r="J251" s="15">
        <v>1925332.276836291</v>
      </c>
      <c r="K251" s="15">
        <v>146936.04109498503</v>
      </c>
      <c r="L251" s="15">
        <v>2768444.3594581075</v>
      </c>
      <c r="N251" s="20">
        <f t="shared" si="38"/>
        <v>8632774.297</v>
      </c>
      <c r="O251" s="16">
        <f t="shared" si="39"/>
        <v>0.06000281202</v>
      </c>
      <c r="P251" s="16">
        <f t="shared" si="40"/>
        <v>1</v>
      </c>
      <c r="Q251" s="19" t="s">
        <v>34</v>
      </c>
    </row>
    <row r="252" ht="15.0" customHeight="1">
      <c r="A252" s="13" t="s">
        <v>35</v>
      </c>
      <c r="B252" s="15">
        <v>68492.25699255861</v>
      </c>
      <c r="C252" s="15">
        <v>139617.22569688453</v>
      </c>
      <c r="D252" s="15">
        <v>293302.1952319498</v>
      </c>
      <c r="E252" s="15">
        <v>1634875.136308944</v>
      </c>
      <c r="F252" s="15">
        <v>447756.0291629644</v>
      </c>
      <c r="G252" s="15">
        <v>78365.58189507877</v>
      </c>
      <c r="H252" s="15">
        <v>317926.3166106338</v>
      </c>
      <c r="I252" s="15">
        <v>55974.04695814478</v>
      </c>
      <c r="J252" s="15">
        <v>1540265.821469033</v>
      </c>
      <c r="K252" s="15">
        <v>117548.83287598805</v>
      </c>
      <c r="L252" s="15">
        <v>2214755.4875664855</v>
      </c>
      <c r="N252" s="20">
        <f t="shared" si="38"/>
        <v>6908878.931</v>
      </c>
      <c r="O252" s="16">
        <f t="shared" si="39"/>
        <v>0.04802073464</v>
      </c>
      <c r="P252" s="16">
        <f t="shared" si="40"/>
        <v>0.8003080693</v>
      </c>
      <c r="Q252" s="17" t="s">
        <v>35</v>
      </c>
    </row>
    <row r="253" ht="15.0" customHeight="1">
      <c r="A253" s="18" t="s">
        <v>36</v>
      </c>
      <c r="B253" s="15">
        <v>85615.32124069826</v>
      </c>
      <c r="C253" s="15">
        <v>174521.53212110564</v>
      </c>
      <c r="D253" s="15">
        <v>271690.7037527592</v>
      </c>
      <c r="E253" s="15">
        <v>1971610.9018688295</v>
      </c>
      <c r="F253" s="15">
        <v>421673.55829137436</v>
      </c>
      <c r="G253" s="15">
        <v>97956.97736884843</v>
      </c>
      <c r="H253" s="15">
        <v>260780.6186935259</v>
      </c>
      <c r="I253" s="15">
        <v>69967.55869768099</v>
      </c>
      <c r="J253" s="15">
        <v>1567753.1380444872</v>
      </c>
      <c r="K253" s="15">
        <v>146936.04109498503</v>
      </c>
      <c r="L253" s="15">
        <v>2314464.6115672314</v>
      </c>
      <c r="N253" s="20">
        <f t="shared" si="38"/>
        <v>7382970.963</v>
      </c>
      <c r="O253" s="16">
        <f t="shared" si="39"/>
        <v>0.05131595054</v>
      </c>
      <c r="P253" s="16">
        <f t="shared" si="40"/>
        <v>0.8552257604</v>
      </c>
      <c r="Q253" s="19" t="s">
        <v>36</v>
      </c>
    </row>
    <row r="254" ht="15.0" customHeight="1">
      <c r="A254" s="13" t="s">
        <v>38</v>
      </c>
      <c r="B254" s="20">
        <f t="shared" ref="B254:P254" si="41">SUM(B236:B253)</f>
        <v>1392105.123</v>
      </c>
      <c r="C254" s="20">
        <f t="shared" si="41"/>
        <v>2955604.399</v>
      </c>
      <c r="D254" s="20">
        <f t="shared" si="41"/>
        <v>6135510.528</v>
      </c>
      <c r="E254" s="20">
        <f t="shared" si="41"/>
        <v>33825289.42</v>
      </c>
      <c r="F254" s="20">
        <f t="shared" si="41"/>
        <v>9275061.688</v>
      </c>
      <c r="G254" s="20">
        <f t="shared" si="41"/>
        <v>1653006.48</v>
      </c>
      <c r="H254" s="20">
        <f t="shared" si="41"/>
        <v>6604297.204</v>
      </c>
      <c r="I254" s="20">
        <f t="shared" si="41"/>
        <v>1197655.079</v>
      </c>
      <c r="J254" s="20">
        <f t="shared" si="41"/>
        <v>32364521.86</v>
      </c>
      <c r="K254" s="20">
        <f t="shared" si="41"/>
        <v>2516395.05</v>
      </c>
      <c r="L254" s="20">
        <f t="shared" si="41"/>
        <v>45953381.91</v>
      </c>
      <c r="M254" s="21">
        <f t="shared" si="41"/>
        <v>0</v>
      </c>
      <c r="N254" s="20">
        <f t="shared" si="41"/>
        <v>143872828.7</v>
      </c>
      <c r="O254" s="12">
        <f t="shared" si="41"/>
        <v>1</v>
      </c>
      <c r="P254" s="12">
        <f t="shared" si="41"/>
        <v>16.66588559</v>
      </c>
      <c r="Q254" s="17"/>
    </row>
  </sheetData>
  <printOptions/>
  <pageMargins bottom="0.75" footer="0.0" header="0.0" left="0.7" right="0.7" top="0.75"/>
  <pageSetup orientation="landscape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86"/>
    <col customWidth="1" min="2" max="2" width="13.71"/>
    <col customWidth="1" min="3" max="3" width="13.57"/>
    <col customWidth="1" min="4" max="4" width="13.29"/>
    <col customWidth="1" min="5" max="5" width="12.29"/>
    <col customWidth="1" min="6" max="6" width="12.43"/>
    <col customWidth="1" min="7" max="7" width="10.71"/>
    <col customWidth="1" min="8" max="8" width="15.14"/>
    <col customWidth="1" min="9" max="9" width="11.29"/>
    <col customWidth="1" min="10" max="10" width="12.71"/>
    <col customWidth="1" min="11" max="11" width="12.29"/>
    <col customWidth="1" min="12" max="12" width="12.14"/>
    <col customWidth="1" min="13" max="13" width="13.43"/>
    <col customWidth="1" min="14" max="14" width="12.86"/>
    <col customWidth="1" min="15" max="26" width="10.71"/>
  </cols>
  <sheetData>
    <row r="1" ht="14.25" customHeight="1">
      <c r="B1" s="26" t="s">
        <v>137</v>
      </c>
      <c r="C1" s="26" t="s">
        <v>138</v>
      </c>
      <c r="D1" s="26" t="s">
        <v>12</v>
      </c>
      <c r="E1" s="26" t="s">
        <v>139</v>
      </c>
      <c r="F1" s="26" t="s">
        <v>140</v>
      </c>
      <c r="G1" s="26" t="s">
        <v>14</v>
      </c>
    </row>
    <row r="2" ht="14.25" customHeight="1">
      <c r="A2" s="26" t="s">
        <v>5</v>
      </c>
      <c r="H2" s="26">
        <f t="shared" ref="H2:H14" si="1">SUM(B2:G2)</f>
        <v>0</v>
      </c>
      <c r="I2" s="44">
        <f t="shared" ref="I2:I16" si="2">H2/SUM(H$2:H$16)</f>
        <v>0</v>
      </c>
      <c r="K2" s="26" t="s">
        <v>141</v>
      </c>
      <c r="L2" s="26" t="s">
        <v>142</v>
      </c>
      <c r="M2" s="26" t="s">
        <v>143</v>
      </c>
      <c r="N2" s="26" t="s">
        <v>144</v>
      </c>
    </row>
    <row r="3" ht="14.25" customHeight="1">
      <c r="A3" s="26" t="s">
        <v>18</v>
      </c>
      <c r="B3" s="26">
        <v>52157.77</v>
      </c>
      <c r="C3" s="26">
        <v>60921.17</v>
      </c>
      <c r="D3" s="26">
        <v>246971.41</v>
      </c>
      <c r="E3" s="26">
        <v>33756.43</v>
      </c>
      <c r="F3" s="26">
        <v>99289.09</v>
      </c>
      <c r="G3" s="26">
        <v>411115.01</v>
      </c>
      <c r="H3" s="26">
        <f t="shared" si="1"/>
        <v>904210.88</v>
      </c>
      <c r="I3" s="44">
        <f t="shared" si="2"/>
        <v>0.03670357334</v>
      </c>
      <c r="K3" s="26" t="s">
        <v>145</v>
      </c>
      <c r="L3" s="44">
        <f>I15</f>
        <v>0</v>
      </c>
      <c r="M3" s="54">
        <v>0.0</v>
      </c>
      <c r="N3" s="44">
        <f>I16</f>
        <v>0.08027470327</v>
      </c>
    </row>
    <row r="4" ht="14.25" customHeight="1">
      <c r="A4" s="26" t="s">
        <v>20</v>
      </c>
      <c r="B4" s="26">
        <v>170257.36</v>
      </c>
      <c r="C4" s="26">
        <v>213470.71000000002</v>
      </c>
      <c r="D4" s="26">
        <v>581825.8200000001</v>
      </c>
      <c r="E4" s="26">
        <v>522478.42</v>
      </c>
      <c r="F4" s="26">
        <v>103529.43</v>
      </c>
      <c r="G4" s="26">
        <v>386045.02</v>
      </c>
      <c r="H4" s="26">
        <f t="shared" si="1"/>
        <v>1977606.76</v>
      </c>
      <c r="I4" s="44">
        <f t="shared" si="2"/>
        <v>0.08027467526</v>
      </c>
      <c r="K4" s="26" t="s">
        <v>146</v>
      </c>
      <c r="L4" s="44">
        <f>I35</f>
        <v>0.003633556197</v>
      </c>
      <c r="M4" s="54">
        <v>0.0</v>
      </c>
      <c r="N4" s="44">
        <f>I36</f>
        <v>0.07851706297</v>
      </c>
    </row>
    <row r="5" ht="14.25" customHeight="1">
      <c r="A5" s="26" t="s">
        <v>23</v>
      </c>
      <c r="B5" s="26">
        <v>170257.36</v>
      </c>
      <c r="C5" s="26">
        <v>213470.71000000002</v>
      </c>
      <c r="D5" s="26">
        <v>581826.51</v>
      </c>
      <c r="E5" s="26">
        <v>522478.42</v>
      </c>
      <c r="F5" s="26">
        <v>103529.43</v>
      </c>
      <c r="G5" s="26">
        <v>386045.03</v>
      </c>
      <c r="H5" s="26">
        <f t="shared" si="1"/>
        <v>1977607.46</v>
      </c>
      <c r="I5" s="44">
        <f t="shared" si="2"/>
        <v>0.08027470368</v>
      </c>
      <c r="K5" s="26" t="s">
        <v>147</v>
      </c>
      <c r="L5" s="44">
        <f>K55</f>
        <v>0.01313212579</v>
      </c>
      <c r="M5" s="44">
        <v>0.0</v>
      </c>
      <c r="N5" s="44">
        <f>K56</f>
        <v>0.07656822878</v>
      </c>
    </row>
    <row r="6" ht="14.25" customHeight="1">
      <c r="A6" s="26" t="s">
        <v>24</v>
      </c>
      <c r="B6" s="26">
        <v>170257.36</v>
      </c>
      <c r="C6" s="26">
        <v>213470.71000000002</v>
      </c>
      <c r="D6" s="26">
        <v>581826.31</v>
      </c>
      <c r="E6" s="26">
        <v>522478.42</v>
      </c>
      <c r="F6" s="26">
        <v>103529.43</v>
      </c>
      <c r="G6" s="26">
        <v>386045.04</v>
      </c>
      <c r="H6" s="26">
        <f t="shared" si="1"/>
        <v>1977607.27</v>
      </c>
      <c r="I6" s="44">
        <f t="shared" si="2"/>
        <v>0.08027469596</v>
      </c>
      <c r="K6" s="26" t="s">
        <v>148</v>
      </c>
      <c r="L6" s="44">
        <f>M74</f>
        <v>0.02728122424</v>
      </c>
      <c r="M6" s="44">
        <v>0.0029251955555052275</v>
      </c>
      <c r="N6" s="44">
        <f>M75</f>
        <v>0.07462789879</v>
      </c>
    </row>
    <row r="7" ht="14.25" customHeight="1">
      <c r="A7" s="26" t="s">
        <v>25</v>
      </c>
      <c r="B7" s="26">
        <v>170257.36</v>
      </c>
      <c r="C7" s="26">
        <v>213470.71000000002</v>
      </c>
      <c r="D7" s="26">
        <v>581826.4400000001</v>
      </c>
      <c r="E7" s="26">
        <v>522478.42</v>
      </c>
      <c r="F7" s="26">
        <v>103529.43</v>
      </c>
      <c r="G7" s="26">
        <v>386044.77</v>
      </c>
      <c r="H7" s="26">
        <f t="shared" si="1"/>
        <v>1977607.13</v>
      </c>
      <c r="I7" s="44">
        <f t="shared" si="2"/>
        <v>0.08027469028</v>
      </c>
      <c r="K7" s="26" t="s">
        <v>149</v>
      </c>
      <c r="L7" s="44">
        <f>N92</f>
        <v>0.046304126</v>
      </c>
      <c r="M7" s="44">
        <v>0.01505265037197065</v>
      </c>
      <c r="N7" s="44">
        <f>N93</f>
        <v>0.07249768708</v>
      </c>
    </row>
    <row r="8" ht="14.25" customHeight="1">
      <c r="A8" s="26" t="s">
        <v>26</v>
      </c>
      <c r="B8" s="26">
        <v>170257.36</v>
      </c>
      <c r="C8" s="26">
        <v>213470.71000000002</v>
      </c>
      <c r="D8" s="26">
        <v>581826.17</v>
      </c>
      <c r="E8" s="26">
        <v>522478.42</v>
      </c>
      <c r="F8" s="26">
        <v>103529.43</v>
      </c>
      <c r="G8" s="26">
        <v>386045.06</v>
      </c>
      <c r="H8" s="26">
        <f t="shared" si="1"/>
        <v>1977607.15</v>
      </c>
      <c r="I8" s="44">
        <f t="shared" si="2"/>
        <v>0.08027469109</v>
      </c>
      <c r="K8" s="26" t="s">
        <v>153</v>
      </c>
      <c r="L8" s="44">
        <f>O111</f>
        <v>0.05718570378</v>
      </c>
      <c r="M8" s="44">
        <v>0.03743603860603696</v>
      </c>
      <c r="N8" s="44">
        <f>O112</f>
        <v>0.06985669555</v>
      </c>
    </row>
    <row r="9" ht="14.25" customHeight="1">
      <c r="A9" s="26" t="s">
        <v>27</v>
      </c>
      <c r="B9" s="26">
        <v>170257.36</v>
      </c>
      <c r="C9" s="26">
        <v>213470.71000000002</v>
      </c>
      <c r="D9" s="26">
        <v>581826.31</v>
      </c>
      <c r="E9" s="26">
        <v>522478.42</v>
      </c>
      <c r="F9" s="26">
        <v>103529.43</v>
      </c>
      <c r="G9" s="26">
        <v>386045.07</v>
      </c>
      <c r="H9" s="26">
        <f t="shared" si="1"/>
        <v>1977607.3</v>
      </c>
      <c r="I9" s="44">
        <f t="shared" si="2"/>
        <v>0.08027469718</v>
      </c>
      <c r="K9" s="26" t="s">
        <v>158</v>
      </c>
      <c r="L9" s="44">
        <f>N130</f>
        <v>0.06135616311</v>
      </c>
      <c r="M9" s="44">
        <v>0.0485618532105206</v>
      </c>
      <c r="N9" s="44">
        <f>N131</f>
        <v>0.06854388338</v>
      </c>
    </row>
    <row r="10" ht="14.25" customHeight="1">
      <c r="A10" s="26" t="s">
        <v>28</v>
      </c>
      <c r="B10" s="26">
        <v>170257.36</v>
      </c>
      <c r="C10" s="26">
        <v>213470.71000000002</v>
      </c>
      <c r="D10" s="26">
        <v>581826.79</v>
      </c>
      <c r="E10" s="26">
        <v>522478.42</v>
      </c>
      <c r="F10" s="26">
        <v>103529.43</v>
      </c>
      <c r="G10" s="26">
        <v>386045.08</v>
      </c>
      <c r="H10" s="26">
        <f t="shared" si="1"/>
        <v>1977607.79</v>
      </c>
      <c r="I10" s="44">
        <f t="shared" si="2"/>
        <v>0.08027471707</v>
      </c>
      <c r="K10" s="26" t="s">
        <v>159</v>
      </c>
      <c r="L10" s="44">
        <f>L149</f>
        <v>0.06669133493</v>
      </c>
      <c r="M10" s="44">
        <v>0.06042396998200098</v>
      </c>
      <c r="N10" s="44">
        <f>L150</f>
        <v>0.06715572198</v>
      </c>
    </row>
    <row r="11" ht="14.25" customHeight="1">
      <c r="A11" s="26" t="s">
        <v>29</v>
      </c>
      <c r="B11" s="26">
        <v>170257.36</v>
      </c>
      <c r="C11" s="26">
        <v>213470.71000000002</v>
      </c>
      <c r="D11" s="26">
        <v>581826.85</v>
      </c>
      <c r="E11" s="26">
        <v>522478.42</v>
      </c>
      <c r="F11" s="26">
        <v>103529.43</v>
      </c>
      <c r="G11" s="26">
        <v>386045.09</v>
      </c>
      <c r="H11" s="26">
        <f t="shared" si="1"/>
        <v>1977607.86</v>
      </c>
      <c r="I11" s="44">
        <f t="shared" si="2"/>
        <v>0.08027471991</v>
      </c>
      <c r="K11" s="26" t="s">
        <v>160</v>
      </c>
      <c r="L11" s="44">
        <f>L168</f>
        <v>0.06522640226</v>
      </c>
      <c r="M11" s="44">
        <v>0.06519167658190217</v>
      </c>
      <c r="N11" s="44">
        <f>L169</f>
        <v>0.06689067528</v>
      </c>
    </row>
    <row r="12" ht="14.25" customHeight="1">
      <c r="A12" s="26" t="s">
        <v>30</v>
      </c>
      <c r="B12" s="26">
        <v>170257.36</v>
      </c>
      <c r="C12" s="26">
        <v>213470.71000000002</v>
      </c>
      <c r="D12" s="26">
        <v>581826.48</v>
      </c>
      <c r="E12" s="26">
        <v>522478.42</v>
      </c>
      <c r="F12" s="26">
        <v>103529.43</v>
      </c>
      <c r="G12" s="26">
        <v>386045.1</v>
      </c>
      <c r="H12" s="26">
        <f t="shared" si="1"/>
        <v>1977607.5</v>
      </c>
      <c r="I12" s="44">
        <f t="shared" si="2"/>
        <v>0.0802747053</v>
      </c>
      <c r="K12" s="26" t="s">
        <v>161</v>
      </c>
      <c r="L12" s="44">
        <f>K187</f>
        <v>0.06301164467</v>
      </c>
      <c r="M12" s="44">
        <v>0.0629460177191796</v>
      </c>
      <c r="N12" s="44">
        <f>K188</f>
        <v>0.06724340334</v>
      </c>
    </row>
    <row r="13" ht="14.25" customHeight="1">
      <c r="A13" s="26" t="s">
        <v>31</v>
      </c>
      <c r="B13" s="26">
        <v>170257.36</v>
      </c>
      <c r="C13" s="26">
        <v>213470.71000000002</v>
      </c>
      <c r="D13" s="26">
        <v>581826.82</v>
      </c>
      <c r="E13" s="26">
        <v>522478.42</v>
      </c>
      <c r="F13" s="26">
        <v>103529.43</v>
      </c>
      <c r="G13" s="26">
        <v>386045.11</v>
      </c>
      <c r="H13" s="26">
        <f t="shared" si="1"/>
        <v>1977607.85</v>
      </c>
      <c r="I13" s="44">
        <f t="shared" si="2"/>
        <v>0.08027471951</v>
      </c>
    </row>
    <row r="14" ht="14.25" customHeight="1">
      <c r="A14" s="26" t="s">
        <v>32</v>
      </c>
      <c r="B14" s="26">
        <v>170257.36</v>
      </c>
      <c r="C14" s="26">
        <v>213470.71000000002</v>
      </c>
      <c r="D14" s="26">
        <v>581826.53</v>
      </c>
      <c r="E14" s="26">
        <v>522478.42</v>
      </c>
      <c r="F14" s="26">
        <v>103529.43</v>
      </c>
      <c r="G14" s="26">
        <v>386045.12</v>
      </c>
      <c r="H14" s="26">
        <f t="shared" si="1"/>
        <v>1977607.57</v>
      </c>
      <c r="I14" s="44">
        <f t="shared" si="2"/>
        <v>0.08027470814</v>
      </c>
    </row>
    <row r="15" ht="14.25" customHeight="1">
      <c r="A15" s="26" t="s">
        <v>34</v>
      </c>
      <c r="I15" s="44">
        <f t="shared" si="2"/>
        <v>0</v>
      </c>
    </row>
    <row r="16" ht="14.25" customHeight="1">
      <c r="A16" s="26" t="s">
        <v>35</v>
      </c>
      <c r="B16" s="26">
        <v>170257.36</v>
      </c>
      <c r="C16" s="26">
        <v>213470.71000000002</v>
      </c>
      <c r="D16" s="26">
        <v>581826.4</v>
      </c>
      <c r="E16" s="26">
        <v>522478.42</v>
      </c>
      <c r="F16" s="26">
        <v>103529.43</v>
      </c>
      <c r="G16" s="26">
        <v>386045.13</v>
      </c>
      <c r="H16" s="26">
        <f>SUM(B16:G16)</f>
        <v>1977607.45</v>
      </c>
      <c r="I16" s="44">
        <f t="shared" si="2"/>
        <v>0.08027470327</v>
      </c>
    </row>
    <row r="17" ht="14.25" customHeight="1">
      <c r="H17" s="26">
        <f t="shared" ref="H17:I17" si="3">SUM(H2:H16)</f>
        <v>24635499.97</v>
      </c>
      <c r="I17" s="44">
        <f t="shared" si="3"/>
        <v>1</v>
      </c>
    </row>
    <row r="18" ht="14.25" customHeight="1"/>
    <row r="19" ht="14.25" customHeight="1"/>
    <row r="20" ht="14.25" customHeight="1"/>
    <row r="21" ht="14.25" customHeight="1">
      <c r="B21" s="26" t="s">
        <v>162</v>
      </c>
      <c r="C21" s="26" t="s">
        <v>163</v>
      </c>
      <c r="D21" s="26" t="s">
        <v>117</v>
      </c>
      <c r="E21" s="26" t="s">
        <v>164</v>
      </c>
      <c r="F21" s="26" t="s">
        <v>165</v>
      </c>
      <c r="G21" s="26" t="s">
        <v>166</v>
      </c>
    </row>
    <row r="22" ht="14.25" customHeight="1">
      <c r="A22" s="26" t="s">
        <v>5</v>
      </c>
      <c r="F22" s="26">
        <v>0.01</v>
      </c>
      <c r="G22" s="26">
        <v>0.0</v>
      </c>
      <c r="H22" s="26">
        <f t="shared" ref="H22:H36" si="4">SUM(B22:G22)</f>
        <v>0.01</v>
      </c>
      <c r="I22" s="44">
        <f t="shared" ref="I22:I36" si="5">H22/SUM(H$22:H$36)</f>
        <v>0.0000000004405822406</v>
      </c>
    </row>
    <row r="23" ht="14.25" customHeight="1">
      <c r="A23" s="26" t="s">
        <v>18</v>
      </c>
      <c r="B23" s="26">
        <v>228320.34</v>
      </c>
      <c r="C23" s="26">
        <v>72126.53</v>
      </c>
      <c r="D23" s="26">
        <v>372056.19</v>
      </c>
      <c r="E23" s="26">
        <v>197548.83</v>
      </c>
      <c r="F23" s="26">
        <v>337771.69</v>
      </c>
      <c r="G23" s="26">
        <v>21500.39</v>
      </c>
      <c r="H23" s="26">
        <f t="shared" si="4"/>
        <v>1229323.97</v>
      </c>
      <c r="I23" s="44">
        <f t="shared" si="5"/>
        <v>0.05416183091</v>
      </c>
    </row>
    <row r="24" ht="14.25" customHeight="1">
      <c r="A24" s="26" t="s">
        <v>20</v>
      </c>
      <c r="B24" s="26">
        <v>229886.43</v>
      </c>
      <c r="C24" s="26">
        <v>203320.68</v>
      </c>
      <c r="D24" s="26">
        <v>704073.6</v>
      </c>
      <c r="E24" s="26">
        <v>306854.20999999996</v>
      </c>
      <c r="F24" s="26">
        <v>319208.7</v>
      </c>
      <c r="G24" s="26">
        <v>18776.02</v>
      </c>
      <c r="H24" s="26">
        <f t="shared" si="4"/>
        <v>1782119.64</v>
      </c>
      <c r="I24" s="44">
        <f t="shared" si="5"/>
        <v>0.0785170264</v>
      </c>
    </row>
    <row r="25" ht="14.25" customHeight="1">
      <c r="A25" s="26" t="s">
        <v>23</v>
      </c>
      <c r="B25" s="26">
        <v>229886.43</v>
      </c>
      <c r="C25" s="26">
        <v>203320.68</v>
      </c>
      <c r="D25" s="26">
        <v>704073.72</v>
      </c>
      <c r="E25" s="26">
        <v>306854.20999999996</v>
      </c>
      <c r="F25" s="26">
        <v>319209.04</v>
      </c>
      <c r="G25" s="26">
        <v>18776.02</v>
      </c>
      <c r="H25" s="26">
        <f t="shared" si="4"/>
        <v>1782120.1</v>
      </c>
      <c r="I25" s="44">
        <f t="shared" si="5"/>
        <v>0.07851704667</v>
      </c>
    </row>
    <row r="26" ht="14.25" customHeight="1">
      <c r="A26" s="26" t="s">
        <v>24</v>
      </c>
      <c r="B26" s="26">
        <v>229886.43</v>
      </c>
      <c r="C26" s="26">
        <v>203320.68</v>
      </c>
      <c r="D26" s="26">
        <v>704074.04</v>
      </c>
      <c r="E26" s="26">
        <v>306854.20999999996</v>
      </c>
      <c r="F26" s="26">
        <v>319209.05</v>
      </c>
      <c r="G26" s="26">
        <v>18776.01</v>
      </c>
      <c r="H26" s="26">
        <f t="shared" si="4"/>
        <v>1782120.42</v>
      </c>
      <c r="I26" s="44">
        <f t="shared" si="5"/>
        <v>0.07851706077</v>
      </c>
    </row>
    <row r="27" ht="14.25" customHeight="1">
      <c r="A27" s="26" t="s">
        <v>25</v>
      </c>
      <c r="B27" s="26">
        <v>229886.43</v>
      </c>
      <c r="C27" s="26">
        <v>203320.68</v>
      </c>
      <c r="D27" s="26">
        <v>704073.9500000001</v>
      </c>
      <c r="E27" s="26">
        <v>306854.20999999996</v>
      </c>
      <c r="F27" s="26">
        <v>319208.73</v>
      </c>
      <c r="G27" s="26">
        <v>18776.02</v>
      </c>
      <c r="H27" s="26">
        <f t="shared" si="4"/>
        <v>1782120.02</v>
      </c>
      <c r="I27" s="44">
        <f t="shared" si="5"/>
        <v>0.07851704314</v>
      </c>
    </row>
    <row r="28" ht="14.25" customHeight="1">
      <c r="A28" s="26" t="s">
        <v>26</v>
      </c>
      <c r="B28" s="26">
        <v>229886.43</v>
      </c>
      <c r="C28" s="26">
        <v>203320.68</v>
      </c>
      <c r="D28" s="26">
        <v>704074.0900000001</v>
      </c>
      <c r="E28" s="26">
        <v>306854.20999999996</v>
      </c>
      <c r="F28" s="26">
        <v>319208.74</v>
      </c>
      <c r="G28" s="26">
        <v>18776.02</v>
      </c>
      <c r="H28" s="26">
        <f t="shared" si="4"/>
        <v>1782120.17</v>
      </c>
      <c r="I28" s="44">
        <f t="shared" si="5"/>
        <v>0.07851704975</v>
      </c>
    </row>
    <row r="29" ht="14.25" customHeight="1">
      <c r="A29" s="26" t="s">
        <v>27</v>
      </c>
      <c r="B29" s="26">
        <v>229886.43</v>
      </c>
      <c r="C29" s="26">
        <v>203320.68</v>
      </c>
      <c r="D29" s="26">
        <v>704073.59</v>
      </c>
      <c r="E29" s="26">
        <v>306854.20999999996</v>
      </c>
      <c r="F29" s="26">
        <v>319208.75</v>
      </c>
      <c r="G29" s="26">
        <v>18776.02</v>
      </c>
      <c r="H29" s="26">
        <f t="shared" si="4"/>
        <v>1782119.68</v>
      </c>
      <c r="I29" s="44">
        <f t="shared" si="5"/>
        <v>0.07851702816</v>
      </c>
    </row>
    <row r="30" ht="14.25" customHeight="1">
      <c r="A30" s="26" t="s">
        <v>28</v>
      </c>
      <c r="B30" s="26">
        <v>229886.43</v>
      </c>
      <c r="C30" s="26">
        <v>203320.68</v>
      </c>
      <c r="D30" s="26">
        <v>704073.71</v>
      </c>
      <c r="E30" s="26">
        <v>306854.20999999996</v>
      </c>
      <c r="F30" s="26">
        <v>319208.76</v>
      </c>
      <c r="G30" s="26">
        <v>18776.02</v>
      </c>
      <c r="H30" s="26">
        <f t="shared" si="4"/>
        <v>1782119.81</v>
      </c>
      <c r="I30" s="44">
        <f t="shared" si="5"/>
        <v>0.07851703389</v>
      </c>
    </row>
    <row r="31" ht="14.25" customHeight="1">
      <c r="A31" s="26" t="s">
        <v>29</v>
      </c>
      <c r="B31" s="26">
        <v>229886.43</v>
      </c>
      <c r="C31" s="26">
        <v>203320.68</v>
      </c>
      <c r="D31" s="26">
        <v>704074.23</v>
      </c>
      <c r="E31" s="26">
        <v>306854.20999999996</v>
      </c>
      <c r="F31" s="26">
        <v>319209.1</v>
      </c>
      <c r="G31" s="26">
        <v>18776.01</v>
      </c>
      <c r="H31" s="26">
        <f t="shared" si="4"/>
        <v>1782120.66</v>
      </c>
      <c r="I31" s="44">
        <f t="shared" si="5"/>
        <v>0.07851707134</v>
      </c>
    </row>
    <row r="32" ht="14.25" customHeight="1">
      <c r="A32" s="26" t="s">
        <v>30</v>
      </c>
      <c r="B32" s="26">
        <v>229886.43</v>
      </c>
      <c r="C32" s="26">
        <v>203320.68</v>
      </c>
      <c r="D32" s="26">
        <v>704074.1799999999</v>
      </c>
      <c r="E32" s="26">
        <v>306854.20999999996</v>
      </c>
      <c r="F32" s="26">
        <v>319208.77999999997</v>
      </c>
      <c r="G32" s="26">
        <v>18776.01</v>
      </c>
      <c r="H32" s="26">
        <f t="shared" si="4"/>
        <v>1782120.29</v>
      </c>
      <c r="I32" s="44">
        <f t="shared" si="5"/>
        <v>0.07851705504</v>
      </c>
    </row>
    <row r="33" ht="14.25" customHeight="1">
      <c r="A33" s="26" t="s">
        <v>31</v>
      </c>
      <c r="B33" s="26">
        <v>229886.43</v>
      </c>
      <c r="C33" s="26">
        <v>203320.68</v>
      </c>
      <c r="D33" s="26">
        <v>704074.29</v>
      </c>
      <c r="E33" s="26">
        <v>306854.20999999996</v>
      </c>
      <c r="F33" s="26">
        <v>319208.79</v>
      </c>
      <c r="G33" s="26">
        <v>18776.01</v>
      </c>
      <c r="H33" s="26">
        <f t="shared" si="4"/>
        <v>1782120.41</v>
      </c>
      <c r="I33" s="44">
        <f t="shared" si="5"/>
        <v>0.07851706033</v>
      </c>
    </row>
    <row r="34" ht="14.25" customHeight="1">
      <c r="A34" s="26" t="s">
        <v>32</v>
      </c>
      <c r="B34" s="26">
        <v>229886.43</v>
      </c>
      <c r="C34" s="26">
        <v>203320.68</v>
      </c>
      <c r="D34" s="26">
        <v>704074.26</v>
      </c>
      <c r="E34" s="26">
        <v>306854.20999999996</v>
      </c>
      <c r="F34" s="26">
        <v>319209.13</v>
      </c>
      <c r="G34" s="26">
        <v>18776.01</v>
      </c>
      <c r="H34" s="26">
        <f t="shared" si="4"/>
        <v>1782120.72</v>
      </c>
      <c r="I34" s="44">
        <f t="shared" si="5"/>
        <v>0.07851707398</v>
      </c>
    </row>
    <row r="35" ht="14.25" customHeight="1">
      <c r="A35" s="26" t="s">
        <v>34</v>
      </c>
      <c r="F35" s="26">
        <v>82878.14</v>
      </c>
      <c r="G35" s="26">
        <v>-406.45</v>
      </c>
      <c r="H35" s="26">
        <f t="shared" si="4"/>
        <v>82471.69</v>
      </c>
      <c r="I35" s="44">
        <f t="shared" si="5"/>
        <v>0.003633556197</v>
      </c>
    </row>
    <row r="36" ht="14.25" customHeight="1">
      <c r="A36" s="26" t="s">
        <v>35</v>
      </c>
      <c r="B36" s="26">
        <v>229886.43</v>
      </c>
      <c r="C36" s="26">
        <v>203320.68</v>
      </c>
      <c r="D36" s="26">
        <v>704074.3200000001</v>
      </c>
      <c r="E36" s="26">
        <v>306854.20999999996</v>
      </c>
      <c r="F36" s="26">
        <v>319208.82</v>
      </c>
      <c r="G36" s="26">
        <v>18776.01</v>
      </c>
      <c r="H36" s="26">
        <f t="shared" si="4"/>
        <v>1782120.47</v>
      </c>
      <c r="I36" s="44">
        <f t="shared" si="5"/>
        <v>0.07851706297</v>
      </c>
    </row>
    <row r="37" ht="14.25" customHeight="1">
      <c r="H37" s="26">
        <f t="shared" ref="H37:I37" si="6">SUM(H22:H36)</f>
        <v>22697238.06</v>
      </c>
      <c r="I37" s="44">
        <f t="shared" si="6"/>
        <v>1</v>
      </c>
    </row>
    <row r="38" ht="14.25" customHeight="1">
      <c r="H38" s="26"/>
      <c r="I38" s="44"/>
    </row>
    <row r="39" ht="14.25" customHeight="1">
      <c r="H39" s="26"/>
      <c r="I39" s="44"/>
    </row>
    <row r="40" ht="14.25" customHeight="1"/>
    <row r="41" ht="14.25" customHeight="1">
      <c r="B41" s="26" t="s">
        <v>175</v>
      </c>
      <c r="C41" s="26" t="s">
        <v>176</v>
      </c>
      <c r="D41" s="26" t="s">
        <v>177</v>
      </c>
      <c r="E41" s="26" t="s">
        <v>178</v>
      </c>
      <c r="F41" s="26" t="s">
        <v>179</v>
      </c>
      <c r="G41" s="26" t="s">
        <v>180</v>
      </c>
      <c r="H41" s="26" t="s">
        <v>181</v>
      </c>
      <c r="I41" s="26" t="s">
        <v>182</v>
      </c>
      <c r="L41" s="26" t="s">
        <v>183</v>
      </c>
    </row>
    <row r="42" ht="14.25" customHeight="1">
      <c r="A42" s="26" t="s">
        <v>5</v>
      </c>
      <c r="B42" s="26">
        <v>0.0</v>
      </c>
      <c r="C42" s="26">
        <v>0.0</v>
      </c>
      <c r="D42" s="26">
        <v>0.0</v>
      </c>
      <c r="E42" s="15">
        <v>0.0</v>
      </c>
      <c r="F42" s="26">
        <v>0.0</v>
      </c>
      <c r="H42" s="26">
        <v>0.0</v>
      </c>
      <c r="I42" s="26">
        <v>0.01</v>
      </c>
      <c r="J42" s="15">
        <f t="shared" ref="J42:J56" si="7">SUM(B42:I42)</f>
        <v>0.01</v>
      </c>
      <c r="K42" s="44">
        <f t="shared" ref="K42:K56" si="8">J42/SUM(J$42:J$56)</f>
        <v>0.0000000003523445598</v>
      </c>
      <c r="L42" s="15">
        <f t="shared" ref="L42:L56" si="9">D42+E42+F42+C61+G22</f>
        <v>0</v>
      </c>
    </row>
    <row r="43" ht="14.25" customHeight="1">
      <c r="A43" s="26" t="s">
        <v>18</v>
      </c>
      <c r="B43" s="26">
        <v>636644.59</v>
      </c>
      <c r="C43" s="26">
        <v>0.0</v>
      </c>
      <c r="D43" s="26">
        <v>82772.84</v>
      </c>
      <c r="E43" s="15">
        <v>70777.01798092213</v>
      </c>
      <c r="F43" s="26">
        <v>66351.88</v>
      </c>
      <c r="G43" s="26">
        <v>334732.06</v>
      </c>
      <c r="H43" s="26">
        <v>398138.74</v>
      </c>
      <c r="I43" s="26">
        <v>341912.69</v>
      </c>
      <c r="J43" s="15">
        <f t="shared" si="7"/>
        <v>1931329.818</v>
      </c>
      <c r="K43" s="44">
        <f t="shared" si="8"/>
        <v>0.06804935546</v>
      </c>
      <c r="L43" s="15">
        <f t="shared" si="9"/>
        <v>339833.898</v>
      </c>
    </row>
    <row r="44" ht="14.25" customHeight="1">
      <c r="A44" s="26" t="s">
        <v>20</v>
      </c>
      <c r="B44" s="26">
        <v>636644.59</v>
      </c>
      <c r="C44" s="26">
        <v>40573.32</v>
      </c>
      <c r="D44" s="26">
        <v>82772.84</v>
      </c>
      <c r="E44" s="15">
        <v>70777.01798092213</v>
      </c>
      <c r="F44" s="26">
        <v>66224.59</v>
      </c>
      <c r="G44" s="26">
        <v>334732.06</v>
      </c>
      <c r="H44" s="26">
        <v>526373.55</v>
      </c>
      <c r="I44" s="26">
        <v>415007.7</v>
      </c>
      <c r="J44" s="15">
        <f t="shared" si="7"/>
        <v>2173105.668</v>
      </c>
      <c r="K44" s="44">
        <f t="shared" si="8"/>
        <v>0.07656819601</v>
      </c>
      <c r="L44" s="15">
        <f t="shared" si="9"/>
        <v>335571.838</v>
      </c>
    </row>
    <row r="45" ht="14.25" customHeight="1">
      <c r="A45" s="26" t="s">
        <v>23</v>
      </c>
      <c r="B45" s="26">
        <v>636644.59</v>
      </c>
      <c r="C45" s="26">
        <v>40573.32</v>
      </c>
      <c r="D45" s="26">
        <v>82772.84</v>
      </c>
      <c r="E45" s="15">
        <v>70777.01798092213</v>
      </c>
      <c r="F45" s="26">
        <v>66224.59</v>
      </c>
      <c r="G45" s="26">
        <v>334732.06</v>
      </c>
      <c r="H45" s="26">
        <v>526374.11</v>
      </c>
      <c r="I45" s="26">
        <v>415008.04</v>
      </c>
      <c r="J45" s="15">
        <f t="shared" si="7"/>
        <v>2173106.568</v>
      </c>
      <c r="K45" s="44">
        <f t="shared" si="8"/>
        <v>0.07656822772</v>
      </c>
      <c r="L45" s="15">
        <f t="shared" si="9"/>
        <v>335571.838</v>
      </c>
    </row>
    <row r="46" ht="14.25" customHeight="1">
      <c r="A46" s="26" t="s">
        <v>24</v>
      </c>
      <c r="B46" s="26">
        <v>636644.59</v>
      </c>
      <c r="C46" s="26">
        <v>40573.32</v>
      </c>
      <c r="D46" s="26">
        <v>82772.84</v>
      </c>
      <c r="E46" s="15">
        <v>70777.01798092213</v>
      </c>
      <c r="F46" s="26">
        <v>66224.59</v>
      </c>
      <c r="G46" s="26">
        <v>334732.06</v>
      </c>
      <c r="H46" s="26">
        <v>526373.37</v>
      </c>
      <c r="I46" s="26">
        <v>415008.05</v>
      </c>
      <c r="J46" s="15">
        <f t="shared" si="7"/>
        <v>2173105.838</v>
      </c>
      <c r="K46" s="44">
        <f t="shared" si="8"/>
        <v>0.076568202</v>
      </c>
      <c r="L46" s="15">
        <f t="shared" si="9"/>
        <v>335571.828</v>
      </c>
    </row>
    <row r="47" ht="14.25" customHeight="1">
      <c r="A47" s="26" t="s">
        <v>25</v>
      </c>
      <c r="B47" s="26">
        <v>636644.59</v>
      </c>
      <c r="C47" s="26">
        <v>40573.32</v>
      </c>
      <c r="D47" s="26">
        <v>82772.84</v>
      </c>
      <c r="E47" s="15">
        <v>70777.01798092213</v>
      </c>
      <c r="F47" s="26">
        <v>66224.59</v>
      </c>
      <c r="G47" s="26">
        <v>334732.06</v>
      </c>
      <c r="H47" s="26">
        <v>526373.72</v>
      </c>
      <c r="I47" s="26">
        <v>415007.73</v>
      </c>
      <c r="J47" s="15">
        <f t="shared" si="7"/>
        <v>2173105.868</v>
      </c>
      <c r="K47" s="44">
        <f t="shared" si="8"/>
        <v>0.07656820305</v>
      </c>
      <c r="L47" s="15">
        <f t="shared" si="9"/>
        <v>335571.838</v>
      </c>
    </row>
    <row r="48" ht="14.25" customHeight="1">
      <c r="A48" s="26" t="s">
        <v>26</v>
      </c>
      <c r="B48" s="26">
        <v>636644.59</v>
      </c>
      <c r="C48" s="26">
        <v>40573.32</v>
      </c>
      <c r="D48" s="26">
        <v>82772.84</v>
      </c>
      <c r="E48" s="15">
        <v>70777.01798092213</v>
      </c>
      <c r="F48" s="26">
        <v>66224.59</v>
      </c>
      <c r="G48" s="26">
        <v>334732.06</v>
      </c>
      <c r="H48" s="26">
        <v>526374.18</v>
      </c>
      <c r="I48" s="26">
        <v>415007.74</v>
      </c>
      <c r="J48" s="15">
        <f t="shared" si="7"/>
        <v>2173106.338</v>
      </c>
      <c r="K48" s="44">
        <f t="shared" si="8"/>
        <v>0.07656821961</v>
      </c>
      <c r="L48" s="15">
        <f t="shared" si="9"/>
        <v>335571.838</v>
      </c>
    </row>
    <row r="49" ht="14.25" customHeight="1">
      <c r="A49" s="26" t="s">
        <v>27</v>
      </c>
      <c r="B49" s="26">
        <v>636644.59</v>
      </c>
      <c r="C49" s="26">
        <v>40573.32</v>
      </c>
      <c r="D49" s="26">
        <v>82772.84</v>
      </c>
      <c r="E49" s="15">
        <v>70777.01798092213</v>
      </c>
      <c r="F49" s="26">
        <v>66224.59</v>
      </c>
      <c r="G49" s="26">
        <v>334732.06</v>
      </c>
      <c r="H49" s="26">
        <v>526373.75</v>
      </c>
      <c r="I49" s="26">
        <v>415007.75</v>
      </c>
      <c r="J49" s="15">
        <f t="shared" si="7"/>
        <v>2173105.918</v>
      </c>
      <c r="K49" s="44">
        <f t="shared" si="8"/>
        <v>0.07656820482</v>
      </c>
      <c r="L49" s="15">
        <f t="shared" si="9"/>
        <v>335571.838</v>
      </c>
    </row>
    <row r="50" ht="14.25" customHeight="1">
      <c r="A50" s="26" t="s">
        <v>28</v>
      </c>
      <c r="B50" s="26">
        <v>636644.59</v>
      </c>
      <c r="C50" s="26">
        <v>40573.32</v>
      </c>
      <c r="D50" s="26">
        <v>82772.84</v>
      </c>
      <c r="E50" s="15">
        <v>70777.01798092213</v>
      </c>
      <c r="F50" s="26">
        <v>66224.59</v>
      </c>
      <c r="G50" s="26">
        <v>334732.06</v>
      </c>
      <c r="H50" s="26">
        <v>526373.86</v>
      </c>
      <c r="I50" s="26">
        <v>415007.76</v>
      </c>
      <c r="J50" s="15">
        <f t="shared" si="7"/>
        <v>2173106.038</v>
      </c>
      <c r="K50" s="44">
        <f t="shared" si="8"/>
        <v>0.07656820904</v>
      </c>
      <c r="L50" s="15">
        <f t="shared" si="9"/>
        <v>335571.838</v>
      </c>
    </row>
    <row r="51" ht="14.25" customHeight="1">
      <c r="A51" s="26" t="s">
        <v>29</v>
      </c>
      <c r="B51" s="26">
        <v>636644.59</v>
      </c>
      <c r="C51" s="26">
        <v>40573.32</v>
      </c>
      <c r="D51" s="26">
        <v>82772.84</v>
      </c>
      <c r="E51" s="15">
        <v>70777.01798092213</v>
      </c>
      <c r="F51" s="26">
        <v>66224.59</v>
      </c>
      <c r="G51" s="26">
        <v>334732.06</v>
      </c>
      <c r="H51" s="26">
        <v>526373.62</v>
      </c>
      <c r="I51" s="26">
        <v>415008.1</v>
      </c>
      <c r="J51" s="15">
        <f t="shared" si="7"/>
        <v>2173106.138</v>
      </c>
      <c r="K51" s="44">
        <f t="shared" si="8"/>
        <v>0.07656821257</v>
      </c>
      <c r="L51" s="15">
        <f t="shared" si="9"/>
        <v>335571.828</v>
      </c>
    </row>
    <row r="52" ht="14.25" customHeight="1">
      <c r="A52" s="26" t="s">
        <v>30</v>
      </c>
      <c r="B52" s="26">
        <v>636644.59</v>
      </c>
      <c r="C52" s="26">
        <v>40573.32</v>
      </c>
      <c r="D52" s="26">
        <v>82772.84</v>
      </c>
      <c r="E52" s="15">
        <v>70777.01798092213</v>
      </c>
      <c r="F52" s="26">
        <v>66224.59</v>
      </c>
      <c r="G52" s="26">
        <v>334732.06</v>
      </c>
      <c r="H52" s="26">
        <v>526373.72</v>
      </c>
      <c r="I52" s="26">
        <v>415007.77999999997</v>
      </c>
      <c r="J52" s="15">
        <f t="shared" si="7"/>
        <v>2173105.918</v>
      </c>
      <c r="K52" s="44">
        <f t="shared" si="8"/>
        <v>0.07656820482</v>
      </c>
      <c r="L52" s="15">
        <f t="shared" si="9"/>
        <v>335571.828</v>
      </c>
    </row>
    <row r="53" ht="14.25" customHeight="1">
      <c r="A53" s="26" t="s">
        <v>31</v>
      </c>
      <c r="B53" s="26">
        <v>636644.59</v>
      </c>
      <c r="C53" s="26">
        <v>40573.32</v>
      </c>
      <c r="D53" s="26">
        <v>82772.84</v>
      </c>
      <c r="E53" s="15">
        <v>70777.0179809221</v>
      </c>
      <c r="F53" s="26">
        <v>66224.59</v>
      </c>
      <c r="G53" s="26">
        <v>334732.06</v>
      </c>
      <c r="H53" s="26">
        <v>526373.44</v>
      </c>
      <c r="I53" s="26">
        <v>415007.79</v>
      </c>
      <c r="J53" s="15">
        <f t="shared" si="7"/>
        <v>2173105.648</v>
      </c>
      <c r="K53" s="44">
        <f t="shared" si="8"/>
        <v>0.0765681953</v>
      </c>
      <c r="L53" s="15">
        <f t="shared" si="9"/>
        <v>335571.828</v>
      </c>
    </row>
    <row r="54" ht="14.25" customHeight="1">
      <c r="A54" s="26" t="s">
        <v>32</v>
      </c>
      <c r="B54" s="26">
        <v>636644.59</v>
      </c>
      <c r="C54" s="26">
        <v>40573.32</v>
      </c>
      <c r="D54" s="26">
        <v>82772.84</v>
      </c>
      <c r="E54" s="15">
        <v>70777.0179809221</v>
      </c>
      <c r="F54" s="26">
        <v>66224.59</v>
      </c>
      <c r="G54" s="26">
        <v>334732.06</v>
      </c>
      <c r="H54" s="26">
        <v>526373.65</v>
      </c>
      <c r="I54" s="26">
        <v>415008.13</v>
      </c>
      <c r="J54" s="15">
        <f t="shared" si="7"/>
        <v>2173106.198</v>
      </c>
      <c r="K54" s="44">
        <f t="shared" si="8"/>
        <v>0.07656821468</v>
      </c>
      <c r="L54" s="15">
        <f t="shared" si="9"/>
        <v>335571.828</v>
      </c>
    </row>
    <row r="55" ht="14.25" customHeight="1">
      <c r="A55" s="26" t="s">
        <v>34</v>
      </c>
      <c r="B55" s="26">
        <v>0.0</v>
      </c>
      <c r="C55" s="26">
        <v>0.0</v>
      </c>
      <c r="D55" s="26">
        <v>0.0</v>
      </c>
      <c r="E55" s="15">
        <v>17809.18624801198</v>
      </c>
      <c r="F55" s="26">
        <v>-18.99</v>
      </c>
      <c r="H55" s="26">
        <v>65734.59</v>
      </c>
      <c r="I55" s="26">
        <v>289182.14</v>
      </c>
      <c r="J55" s="15">
        <f t="shared" si="7"/>
        <v>372706.9262</v>
      </c>
      <c r="K55" s="44">
        <f t="shared" si="8"/>
        <v>0.01313212579</v>
      </c>
      <c r="L55" s="15">
        <f t="shared" si="9"/>
        <v>37369.31625</v>
      </c>
    </row>
    <row r="56" ht="14.25" customHeight="1">
      <c r="A56" s="26" t="s">
        <v>35</v>
      </c>
      <c r="B56" s="26">
        <v>636644.59</v>
      </c>
      <c r="C56" s="26">
        <v>40573.32</v>
      </c>
      <c r="D56" s="26">
        <v>82772.84</v>
      </c>
      <c r="E56" s="15">
        <v>70777.0179809221</v>
      </c>
      <c r="F56" s="26">
        <v>66224.59</v>
      </c>
      <c r="G56" s="26">
        <v>334732.06</v>
      </c>
      <c r="H56" s="26">
        <v>526374.3600000001</v>
      </c>
      <c r="I56" s="26">
        <v>415007.82</v>
      </c>
      <c r="J56" s="15">
        <f t="shared" si="7"/>
        <v>2173106.598</v>
      </c>
      <c r="K56" s="44">
        <f t="shared" si="8"/>
        <v>0.07656822878</v>
      </c>
      <c r="L56" s="15">
        <f t="shared" si="9"/>
        <v>335571.828</v>
      </c>
    </row>
    <row r="57" ht="14.25" customHeight="1">
      <c r="J57" s="15">
        <f>SUM(J42:J56)</f>
        <v>28381309.49</v>
      </c>
      <c r="L57" s="15">
        <f>SUM(L42:L56)</f>
        <v>4404065.21</v>
      </c>
    </row>
    <row r="58" ht="14.25" customHeight="1"/>
    <row r="59" ht="14.25" customHeight="1"/>
    <row r="60" ht="14.25" customHeight="1">
      <c r="B60" s="26" t="s">
        <v>189</v>
      </c>
      <c r="C60" s="26" t="s">
        <v>190</v>
      </c>
      <c r="D60" s="26" t="s">
        <v>191</v>
      </c>
      <c r="E60" s="26" t="s">
        <v>192</v>
      </c>
      <c r="F60" s="26" t="s">
        <v>193</v>
      </c>
      <c r="G60" s="26" t="s">
        <v>194</v>
      </c>
      <c r="H60" s="26" t="s">
        <v>195</v>
      </c>
      <c r="I60" s="26" t="s">
        <v>196</v>
      </c>
      <c r="J60" s="26" t="s">
        <v>197</v>
      </c>
      <c r="K60" s="26" t="s">
        <v>198</v>
      </c>
    </row>
    <row r="61" ht="14.25" customHeight="1">
      <c r="A61" s="26" t="s">
        <v>5</v>
      </c>
      <c r="C61" s="26">
        <v>0.0</v>
      </c>
      <c r="E61" s="15">
        <v>0.0</v>
      </c>
      <c r="F61" s="26">
        <v>0.01</v>
      </c>
      <c r="G61" s="26">
        <v>0.0</v>
      </c>
      <c r="H61" s="26">
        <v>0.0</v>
      </c>
      <c r="I61" s="26">
        <v>91714.01</v>
      </c>
      <c r="J61" s="26">
        <v>0.0</v>
      </c>
      <c r="K61" s="26">
        <v>0.0</v>
      </c>
      <c r="L61" s="15">
        <f t="shared" ref="L61:L75" si="10">SUM(B61:K61)</f>
        <v>91714.02</v>
      </c>
      <c r="M61" s="44">
        <f t="shared" ref="M61:M75" si="11">L61/SUM(L$61:L$75)</f>
        <v>0.002925195556</v>
      </c>
    </row>
    <row r="62" ht="14.25" customHeight="1">
      <c r="A62" s="26" t="s">
        <v>18</v>
      </c>
      <c r="B62" s="26">
        <v>154085.97</v>
      </c>
      <c r="C62" s="26">
        <v>98431.77</v>
      </c>
      <c r="D62" s="26">
        <v>277464.5521428571</v>
      </c>
      <c r="E62" s="15">
        <v>86435.30515542215</v>
      </c>
      <c r="F62" s="26">
        <v>628050.02</v>
      </c>
      <c r="G62" s="26">
        <v>464905.4136162184</v>
      </c>
      <c r="H62" s="26">
        <v>116659.59927160542</v>
      </c>
      <c r="I62" s="26">
        <v>306365.02</v>
      </c>
      <c r="J62" s="26">
        <v>33223.12701602778</v>
      </c>
      <c r="K62" s="26">
        <v>162629.0706389447</v>
      </c>
      <c r="L62" s="15">
        <f t="shared" si="10"/>
        <v>2328249.848</v>
      </c>
      <c r="M62" s="44">
        <f t="shared" si="11"/>
        <v>0.07425894217</v>
      </c>
    </row>
    <row r="63" ht="14.25" customHeight="1">
      <c r="A63" s="26" t="s">
        <v>20</v>
      </c>
      <c r="B63" s="26">
        <v>166429.49</v>
      </c>
      <c r="C63" s="26">
        <v>97021.37</v>
      </c>
      <c r="D63" s="26">
        <v>277464.5521428571</v>
      </c>
      <c r="E63" s="15">
        <v>86435.30515542215</v>
      </c>
      <c r="F63" s="26">
        <v>631846.23</v>
      </c>
      <c r="G63" s="26">
        <v>463439.98201036674</v>
      </c>
      <c r="H63" s="26">
        <v>116659.59927160542</v>
      </c>
      <c r="I63" s="26">
        <v>304669.03</v>
      </c>
      <c r="J63" s="26">
        <v>33223.12701602778</v>
      </c>
      <c r="K63" s="26">
        <v>162629.0706389447</v>
      </c>
      <c r="L63" s="15">
        <f t="shared" si="10"/>
        <v>2339817.756</v>
      </c>
      <c r="M63" s="44">
        <f t="shared" si="11"/>
        <v>0.07462789769</v>
      </c>
    </row>
    <row r="64" ht="14.25" customHeight="1">
      <c r="A64" s="26" t="s">
        <v>23</v>
      </c>
      <c r="B64" s="26">
        <v>166429.49</v>
      </c>
      <c r="C64" s="26">
        <v>97021.37</v>
      </c>
      <c r="D64" s="26">
        <v>277464.5521428571</v>
      </c>
      <c r="E64" s="15">
        <v>86435.30515542215</v>
      </c>
      <c r="F64" s="26">
        <v>631845.92</v>
      </c>
      <c r="G64" s="26">
        <v>463439.97655625676</v>
      </c>
      <c r="H64" s="26">
        <v>116659.59927160542</v>
      </c>
      <c r="I64" s="26">
        <v>304669.04</v>
      </c>
      <c r="J64" s="26">
        <v>33223.12701602778</v>
      </c>
      <c r="K64" s="26">
        <v>162629.0706389447</v>
      </c>
      <c r="L64" s="15">
        <f t="shared" si="10"/>
        <v>2339817.451</v>
      </c>
      <c r="M64" s="44">
        <f t="shared" si="11"/>
        <v>0.07462788795</v>
      </c>
    </row>
    <row r="65" ht="14.25" customHeight="1">
      <c r="A65" s="26" t="s">
        <v>24</v>
      </c>
      <c r="B65" s="26">
        <v>166429.49</v>
      </c>
      <c r="C65" s="26">
        <v>97021.37</v>
      </c>
      <c r="D65" s="26">
        <v>277464.5521428571</v>
      </c>
      <c r="E65" s="15">
        <v>86435.30515542215</v>
      </c>
      <c r="F65" s="26">
        <v>631846.05</v>
      </c>
      <c r="G65" s="26">
        <v>463439.98098098545</v>
      </c>
      <c r="H65" s="26">
        <v>116659.59927160542</v>
      </c>
      <c r="I65" s="26">
        <v>304669.05</v>
      </c>
      <c r="J65" s="26">
        <v>33223.12701602778</v>
      </c>
      <c r="K65" s="26">
        <v>162629.0706389447</v>
      </c>
      <c r="L65" s="15">
        <f t="shared" si="10"/>
        <v>2339817.595</v>
      </c>
      <c r="M65" s="44">
        <f t="shared" si="11"/>
        <v>0.07462789255</v>
      </c>
    </row>
    <row r="66" ht="14.25" customHeight="1">
      <c r="A66" s="26" t="s">
        <v>25</v>
      </c>
      <c r="B66" s="26">
        <v>166429.49</v>
      </c>
      <c r="C66" s="26">
        <v>97021.37</v>
      </c>
      <c r="D66" s="26">
        <v>277464.5521428571</v>
      </c>
      <c r="E66" s="15">
        <v>86435.30515542215</v>
      </c>
      <c r="F66" s="26">
        <v>631845.4</v>
      </c>
      <c r="G66" s="26">
        <v>463439.98079867393</v>
      </c>
      <c r="H66" s="26">
        <v>116659.59927160542</v>
      </c>
      <c r="I66" s="26">
        <v>304669.06</v>
      </c>
      <c r="J66" s="26">
        <v>33223.12701602778</v>
      </c>
      <c r="K66" s="26">
        <v>162629.0706389447</v>
      </c>
      <c r="L66" s="15">
        <f t="shared" si="10"/>
        <v>2339816.955</v>
      </c>
      <c r="M66" s="44">
        <f t="shared" si="11"/>
        <v>0.07462787213</v>
      </c>
    </row>
    <row r="67" ht="14.25" customHeight="1">
      <c r="A67" s="26" t="s">
        <v>26</v>
      </c>
      <c r="B67" s="26">
        <v>166429.49</v>
      </c>
      <c r="C67" s="26">
        <v>97021.37</v>
      </c>
      <c r="D67" s="26">
        <v>277464.5521428571</v>
      </c>
      <c r="E67" s="15">
        <v>86435.30515542215</v>
      </c>
      <c r="F67" s="26">
        <v>631845.86</v>
      </c>
      <c r="G67" s="26">
        <v>463439.9779503088</v>
      </c>
      <c r="H67" s="26">
        <v>116659.59927160542</v>
      </c>
      <c r="I67" s="26">
        <v>304669.07</v>
      </c>
      <c r="J67" s="26">
        <v>33223.12701602778</v>
      </c>
      <c r="K67" s="26">
        <v>162629.0706389447</v>
      </c>
      <c r="L67" s="15">
        <f t="shared" si="10"/>
        <v>2339817.422</v>
      </c>
      <c r="M67" s="44">
        <f t="shared" si="11"/>
        <v>0.07462788703</v>
      </c>
    </row>
    <row r="68" ht="14.25" customHeight="1">
      <c r="A68" s="26" t="s">
        <v>27</v>
      </c>
      <c r="B68" s="26">
        <v>166429.49</v>
      </c>
      <c r="C68" s="26">
        <v>97021.37</v>
      </c>
      <c r="D68" s="26">
        <v>277464.5521428571</v>
      </c>
      <c r="E68" s="15">
        <v>86435.30515542215</v>
      </c>
      <c r="F68" s="26">
        <v>631845.43</v>
      </c>
      <c r="G68" s="26">
        <v>463439.98049523146</v>
      </c>
      <c r="H68" s="26">
        <v>116659.59927160542</v>
      </c>
      <c r="I68" s="26">
        <v>304669.08</v>
      </c>
      <c r="J68" s="26">
        <v>33223.12701602778</v>
      </c>
      <c r="K68" s="26">
        <v>162629.0706389447</v>
      </c>
      <c r="L68" s="15">
        <f t="shared" si="10"/>
        <v>2339817.005</v>
      </c>
      <c r="M68" s="44">
        <f t="shared" si="11"/>
        <v>0.07462787372</v>
      </c>
    </row>
    <row r="69" ht="14.25" customHeight="1">
      <c r="A69" s="26" t="s">
        <v>28</v>
      </c>
      <c r="B69" s="26">
        <v>166429.49</v>
      </c>
      <c r="C69" s="26">
        <v>97021.37</v>
      </c>
      <c r="D69" s="26">
        <v>277464.5521428571</v>
      </c>
      <c r="E69" s="15">
        <v>86435.30515542215</v>
      </c>
      <c r="F69" s="26">
        <v>631845.5399999999</v>
      </c>
      <c r="G69" s="26">
        <v>463439.9797680987</v>
      </c>
      <c r="H69" s="26">
        <v>116659.59927160542</v>
      </c>
      <c r="I69" s="26">
        <v>304669.09</v>
      </c>
      <c r="J69" s="26">
        <v>33223.12701602778</v>
      </c>
      <c r="K69" s="26">
        <v>162629.0706389447</v>
      </c>
      <c r="L69" s="15">
        <f t="shared" si="10"/>
        <v>2339817.124</v>
      </c>
      <c r="M69" s="44">
        <f t="shared" si="11"/>
        <v>0.07462787752</v>
      </c>
    </row>
    <row r="70" ht="14.25" customHeight="1">
      <c r="A70" s="26" t="s">
        <v>29</v>
      </c>
      <c r="B70" s="26">
        <v>166429.49</v>
      </c>
      <c r="C70" s="26">
        <v>97021.37</v>
      </c>
      <c r="D70" s="26">
        <v>277464.5521428571</v>
      </c>
      <c r="E70" s="15">
        <v>86435.30515542215</v>
      </c>
      <c r="F70" s="26">
        <v>631845.4299999999</v>
      </c>
      <c r="G70" s="26">
        <v>463439.97916305216</v>
      </c>
      <c r="H70" s="26">
        <v>116659.59927160542</v>
      </c>
      <c r="I70" s="26">
        <v>304669.1</v>
      </c>
      <c r="J70" s="26">
        <v>33223.12701602778</v>
      </c>
      <c r="K70" s="26">
        <v>162629.0706389447</v>
      </c>
      <c r="L70" s="15">
        <f t="shared" si="10"/>
        <v>2339817.023</v>
      </c>
      <c r="M70" s="44">
        <f t="shared" si="11"/>
        <v>0.07462787432</v>
      </c>
    </row>
    <row r="71" ht="14.25" customHeight="1">
      <c r="A71" s="26" t="s">
        <v>30</v>
      </c>
      <c r="B71" s="26">
        <v>166429.49</v>
      </c>
      <c r="C71" s="26">
        <v>97021.37</v>
      </c>
      <c r="D71" s="26">
        <v>277464.5521428571</v>
      </c>
      <c r="E71" s="15">
        <v>86435.30515542215</v>
      </c>
      <c r="F71" s="26">
        <v>631845.4</v>
      </c>
      <c r="G71" s="26">
        <v>463439.9804959716</v>
      </c>
      <c r="H71" s="26">
        <v>116659.59927160542</v>
      </c>
      <c r="I71" s="26">
        <v>304669.11</v>
      </c>
      <c r="J71" s="26">
        <v>33223.12701602778</v>
      </c>
      <c r="K71" s="26">
        <v>162629.0706389447</v>
      </c>
      <c r="L71" s="15">
        <f t="shared" si="10"/>
        <v>2339817.005</v>
      </c>
      <c r="M71" s="44">
        <f t="shared" si="11"/>
        <v>0.07462787372</v>
      </c>
    </row>
    <row r="72" ht="14.25" customHeight="1">
      <c r="A72" s="26" t="s">
        <v>31</v>
      </c>
      <c r="B72" s="26">
        <v>166429.49</v>
      </c>
      <c r="C72" s="26">
        <v>97021.37</v>
      </c>
      <c r="D72" s="26">
        <v>277464.5521428571</v>
      </c>
      <c r="E72" s="15">
        <v>86435.30515542213</v>
      </c>
      <c r="F72" s="26">
        <v>631846.12</v>
      </c>
      <c r="G72" s="26">
        <v>463439.9821325125</v>
      </c>
      <c r="H72" s="26">
        <v>116659.59927160542</v>
      </c>
      <c r="I72" s="26">
        <v>304669.12</v>
      </c>
      <c r="J72" s="26">
        <v>33223.12701602778</v>
      </c>
      <c r="K72" s="26">
        <v>162629.07063894466</v>
      </c>
      <c r="L72" s="15">
        <f t="shared" si="10"/>
        <v>2339817.736</v>
      </c>
      <c r="M72" s="44">
        <f t="shared" si="11"/>
        <v>0.07462789706</v>
      </c>
    </row>
    <row r="73" ht="14.25" customHeight="1">
      <c r="A73" s="26" t="s">
        <v>32</v>
      </c>
      <c r="B73" s="26">
        <v>166429.49</v>
      </c>
      <c r="C73" s="26">
        <v>97021.37</v>
      </c>
      <c r="D73" s="26">
        <v>277464.5521428571</v>
      </c>
      <c r="E73" s="15">
        <v>86435.30515542213</v>
      </c>
      <c r="F73" s="26">
        <v>631846.38</v>
      </c>
      <c r="G73" s="26">
        <v>463439.9787994798</v>
      </c>
      <c r="H73" s="26">
        <v>116659.59927160542</v>
      </c>
      <c r="I73" s="26">
        <v>304669.13</v>
      </c>
      <c r="J73" s="26">
        <v>33223.12701602778</v>
      </c>
      <c r="K73" s="26">
        <v>162629.07063894466</v>
      </c>
      <c r="L73" s="15">
        <f t="shared" si="10"/>
        <v>2339818.003</v>
      </c>
      <c r="M73" s="44">
        <f t="shared" si="11"/>
        <v>0.07462790556</v>
      </c>
    </row>
    <row r="74" ht="14.25" customHeight="1">
      <c r="A74" s="26" t="s">
        <v>34</v>
      </c>
      <c r="C74" s="26">
        <v>19985.57</v>
      </c>
      <c r="D74" s="26">
        <v>7478.382142857144</v>
      </c>
      <c r="E74" s="15">
        <v>42023.32297951259</v>
      </c>
      <c r="F74" s="26">
        <v>228073.59000000003</v>
      </c>
      <c r="G74" s="26">
        <v>115431.49038768238</v>
      </c>
      <c r="H74" s="26">
        <v>0.0</v>
      </c>
      <c r="I74" s="26">
        <v>336862.14</v>
      </c>
      <c r="J74" s="26">
        <v>0.0</v>
      </c>
      <c r="K74" s="26">
        <v>105497.1204853578</v>
      </c>
      <c r="L74" s="15">
        <f t="shared" si="10"/>
        <v>855351.616</v>
      </c>
      <c r="M74" s="44">
        <f t="shared" si="11"/>
        <v>0.02728122424</v>
      </c>
    </row>
    <row r="75" ht="14.25" customHeight="1">
      <c r="A75" s="26" t="s">
        <v>35</v>
      </c>
      <c r="B75" s="26">
        <v>166429.49</v>
      </c>
      <c r="C75" s="26">
        <v>97021.37</v>
      </c>
      <c r="D75" s="26">
        <v>277464.5521428571</v>
      </c>
      <c r="E75" s="15">
        <v>86435.30515542213</v>
      </c>
      <c r="F75" s="26">
        <v>631846.15</v>
      </c>
      <c r="G75" s="26">
        <v>463439.9763748883</v>
      </c>
      <c r="H75" s="26">
        <v>116659.59927160542</v>
      </c>
      <c r="I75" s="26">
        <v>304669.15</v>
      </c>
      <c r="J75" s="26">
        <v>33223.12701602778</v>
      </c>
      <c r="K75" s="26">
        <v>162629.07063894466</v>
      </c>
      <c r="L75" s="15">
        <f t="shared" si="10"/>
        <v>2339817.791</v>
      </c>
      <c r="M75" s="44">
        <f t="shared" si="11"/>
        <v>0.07462789879</v>
      </c>
    </row>
    <row r="76" ht="14.25" customHeight="1">
      <c r="L76" s="15">
        <f>SUM(L61:L75)</f>
        <v>31353124.35</v>
      </c>
    </row>
    <row r="77" ht="14.25" customHeight="1"/>
    <row r="78" ht="14.25" customHeight="1">
      <c r="B78" s="26" t="s">
        <v>209</v>
      </c>
      <c r="C78" s="26" t="s">
        <v>210</v>
      </c>
      <c r="D78" s="26" t="s">
        <v>211</v>
      </c>
      <c r="E78" s="26" t="s">
        <v>212</v>
      </c>
      <c r="F78" s="26" t="s">
        <v>213</v>
      </c>
      <c r="G78" s="26" t="s">
        <v>214</v>
      </c>
      <c r="H78" s="26" t="s">
        <v>215</v>
      </c>
      <c r="I78" s="26" t="s">
        <v>216</v>
      </c>
      <c r="J78" s="26" t="s">
        <v>217</v>
      </c>
      <c r="K78" s="26" t="s">
        <v>219</v>
      </c>
      <c r="L78" s="26" t="s">
        <v>76</v>
      </c>
    </row>
    <row r="79" ht="14.25" customHeight="1">
      <c r="A79" s="26" t="s">
        <v>5</v>
      </c>
      <c r="B79" s="26">
        <v>0.0</v>
      </c>
      <c r="C79" s="15">
        <v>-1024.488499659251</v>
      </c>
      <c r="D79" s="26">
        <v>0.0</v>
      </c>
      <c r="E79" s="15">
        <v>-991.4268588794166</v>
      </c>
      <c r="F79" s="15">
        <v>76871.01</v>
      </c>
      <c r="G79" s="15">
        <v>0.0</v>
      </c>
      <c r="H79" s="26">
        <v>-459.93</v>
      </c>
      <c r="J79" s="26">
        <v>7798.305312087442</v>
      </c>
      <c r="K79" s="15">
        <v>13181.01</v>
      </c>
      <c r="L79" s="15">
        <v>398159.01</v>
      </c>
      <c r="M79" s="15">
        <f t="shared" ref="M79:M93" si="12">SUM(B79:L79)</f>
        <v>493533.49</v>
      </c>
      <c r="N79" s="44">
        <f t="shared" ref="N79:N94" si="13">M79/SUM(M$79:M$93)</f>
        <v>0.01505265037</v>
      </c>
    </row>
    <row r="80" ht="14.25" customHeight="1">
      <c r="A80" s="26" t="s">
        <v>18</v>
      </c>
      <c r="B80" s="15">
        <v>0.0</v>
      </c>
      <c r="C80" s="15">
        <v>116389.06441379397</v>
      </c>
      <c r="D80" s="26">
        <v>67423.54654710318</v>
      </c>
      <c r="E80" s="15">
        <v>233870.80770814343</v>
      </c>
      <c r="F80" s="15">
        <v>584456.02</v>
      </c>
      <c r="G80" s="15">
        <v>16007.24553477772</v>
      </c>
      <c r="H80" s="26">
        <v>370107.89</v>
      </c>
      <c r="I80" s="26">
        <v>110137.47948872854</v>
      </c>
      <c r="J80" s="26">
        <v>276204.63191296346</v>
      </c>
      <c r="K80" s="15">
        <v>13181.01</v>
      </c>
      <c r="L80" s="15">
        <v>463748.02</v>
      </c>
      <c r="M80" s="15">
        <f t="shared" si="12"/>
        <v>2251525.716</v>
      </c>
      <c r="N80" s="44">
        <f t="shared" si="13"/>
        <v>0.06867098199</v>
      </c>
    </row>
    <row r="81" ht="14.25" customHeight="1">
      <c r="A81" s="26" t="s">
        <v>20</v>
      </c>
      <c r="B81" s="15">
        <v>87912.95</v>
      </c>
      <c r="C81" s="15">
        <v>116259.66376689676</v>
      </c>
      <c r="D81" s="26">
        <v>67423.54654710318</v>
      </c>
      <c r="E81" s="15">
        <v>233745.75883248608</v>
      </c>
      <c r="F81" s="15">
        <v>588360.03</v>
      </c>
      <c r="G81" s="15">
        <v>16007.24553477772</v>
      </c>
      <c r="H81" s="26">
        <v>370049.88</v>
      </c>
      <c r="I81" s="26">
        <v>110137.47948872854</v>
      </c>
      <c r="J81" s="26">
        <v>276204.63191296346</v>
      </c>
      <c r="K81" s="15">
        <v>13181.01</v>
      </c>
      <c r="L81" s="15">
        <v>497710.03</v>
      </c>
      <c r="M81" s="15">
        <f t="shared" si="12"/>
        <v>2376992.226</v>
      </c>
      <c r="N81" s="44">
        <f t="shared" si="13"/>
        <v>0.07249767978</v>
      </c>
    </row>
    <row r="82" ht="14.25" customHeight="1">
      <c r="A82" s="26" t="s">
        <v>23</v>
      </c>
      <c r="B82" s="15">
        <v>87912.95</v>
      </c>
      <c r="C82" s="15">
        <v>116259.66718375987</v>
      </c>
      <c r="D82" s="26">
        <v>67423.54654710318</v>
      </c>
      <c r="E82" s="15">
        <v>233745.76213443937</v>
      </c>
      <c r="F82" s="15">
        <v>588360.02</v>
      </c>
      <c r="G82" s="15">
        <v>16007.24553477772</v>
      </c>
      <c r="H82" s="26">
        <v>370049.88</v>
      </c>
      <c r="I82" s="26">
        <v>110137.47948872854</v>
      </c>
      <c r="J82" s="26">
        <v>276204.63191296346</v>
      </c>
      <c r="K82" s="15">
        <v>13181.01</v>
      </c>
      <c r="L82" s="15">
        <v>497710.04</v>
      </c>
      <c r="M82" s="15">
        <f t="shared" si="12"/>
        <v>2376992.233</v>
      </c>
      <c r="N82" s="44">
        <f t="shared" si="13"/>
        <v>0.07249767999</v>
      </c>
    </row>
    <row r="83" ht="14.25" customHeight="1">
      <c r="A83" s="26" t="s">
        <v>24</v>
      </c>
      <c r="B83" s="15">
        <v>87912.95</v>
      </c>
      <c r="C83" s="15">
        <v>116259.66556819959</v>
      </c>
      <c r="D83" s="26">
        <v>67423.54654710318</v>
      </c>
      <c r="E83" s="15">
        <v>233745.76057321072</v>
      </c>
      <c r="F83" s="15">
        <v>588360.05</v>
      </c>
      <c r="G83" s="15">
        <v>16007.24553477772</v>
      </c>
      <c r="H83" s="26">
        <v>370049.88</v>
      </c>
      <c r="I83" s="26">
        <v>110137.47948872854</v>
      </c>
      <c r="J83" s="26">
        <v>276204.63191296346</v>
      </c>
      <c r="K83" s="15">
        <v>13181.01</v>
      </c>
      <c r="L83" s="15">
        <v>497710.05</v>
      </c>
      <c r="M83" s="15">
        <f t="shared" si="12"/>
        <v>2376992.27</v>
      </c>
      <c r="N83" s="44">
        <f t="shared" si="13"/>
        <v>0.07249768111</v>
      </c>
    </row>
    <row r="84" ht="14.25" customHeight="1">
      <c r="A84" s="26" t="s">
        <v>25</v>
      </c>
      <c r="B84" s="15">
        <v>87912.95</v>
      </c>
      <c r="C84" s="15">
        <v>116259.67272939094</v>
      </c>
      <c r="D84" s="26">
        <v>67423.54654710318</v>
      </c>
      <c r="E84" s="15">
        <v>233745.76749356964</v>
      </c>
      <c r="F84" s="15">
        <v>588360.06</v>
      </c>
      <c r="G84" s="15">
        <v>16007.24553477772</v>
      </c>
      <c r="H84" s="26">
        <v>370049.89</v>
      </c>
      <c r="I84" s="26">
        <v>110137.47948872854</v>
      </c>
      <c r="J84" s="26">
        <v>276204.63191296346</v>
      </c>
      <c r="K84" s="15">
        <v>13181.01</v>
      </c>
      <c r="L84" s="15">
        <v>497710.06</v>
      </c>
      <c r="M84" s="15">
        <f t="shared" si="12"/>
        <v>2376992.314</v>
      </c>
      <c r="N84" s="44">
        <f t="shared" si="13"/>
        <v>0.07249768245</v>
      </c>
    </row>
    <row r="85" ht="14.25" customHeight="1">
      <c r="A85" s="26" t="s">
        <v>26</v>
      </c>
      <c r="B85" s="15">
        <v>87912.95</v>
      </c>
      <c r="C85" s="15">
        <v>116259.667503751</v>
      </c>
      <c r="D85" s="26">
        <v>67423.54654710318</v>
      </c>
      <c r="E85" s="15">
        <v>233745.76244366914</v>
      </c>
      <c r="F85" s="15">
        <v>588360.07</v>
      </c>
      <c r="G85" s="15">
        <v>16007.24553477772</v>
      </c>
      <c r="H85" s="26">
        <v>370049.88</v>
      </c>
      <c r="I85" s="26">
        <v>110137.47948872854</v>
      </c>
      <c r="J85" s="26">
        <v>276204.63191296346</v>
      </c>
      <c r="K85" s="15">
        <v>13181.01</v>
      </c>
      <c r="L85" s="15">
        <v>497710.07</v>
      </c>
      <c r="M85" s="15">
        <f t="shared" si="12"/>
        <v>2376992.313</v>
      </c>
      <c r="N85" s="44">
        <f t="shared" si="13"/>
        <v>0.07249768245</v>
      </c>
    </row>
    <row r="86" ht="14.25" customHeight="1">
      <c r="A86" s="26" t="s">
        <v>27</v>
      </c>
      <c r="B86" s="15">
        <v>87912.95</v>
      </c>
      <c r="C86" s="15">
        <v>116259.67217347655</v>
      </c>
      <c r="D86" s="26">
        <v>67423.54654710318</v>
      </c>
      <c r="E86" s="15">
        <v>233745.7669563508</v>
      </c>
      <c r="F86" s="15">
        <v>588360.08</v>
      </c>
      <c r="G86" s="15">
        <v>16007.24553477772</v>
      </c>
      <c r="H86" s="26">
        <v>370049.89</v>
      </c>
      <c r="I86" s="26">
        <v>110137.47948872854</v>
      </c>
      <c r="J86" s="26">
        <v>276204.63191296346</v>
      </c>
      <c r="K86" s="15">
        <v>13181.01</v>
      </c>
      <c r="L86" s="15">
        <v>497710.08</v>
      </c>
      <c r="M86" s="15">
        <f t="shared" si="12"/>
        <v>2376992.353</v>
      </c>
      <c r="N86" s="44">
        <f t="shared" si="13"/>
        <v>0.07249768364</v>
      </c>
    </row>
    <row r="87" ht="14.25" customHeight="1">
      <c r="A87" s="26" t="s">
        <v>28</v>
      </c>
      <c r="B87" s="15">
        <v>87912.95</v>
      </c>
      <c r="C87" s="15">
        <v>116259.67083926938</v>
      </c>
      <c r="D87" s="26">
        <v>67423.54654710318</v>
      </c>
      <c r="E87" s="15">
        <v>233745.7656670133</v>
      </c>
      <c r="F87" s="15">
        <v>588360.5399999999</v>
      </c>
      <c r="G87" s="15">
        <v>16007.24553477772</v>
      </c>
      <c r="H87" s="26">
        <v>370049.88</v>
      </c>
      <c r="I87" s="26">
        <v>110137.47948872854</v>
      </c>
      <c r="J87" s="26">
        <v>276204.63191296346</v>
      </c>
      <c r="K87" s="15">
        <v>13181.01</v>
      </c>
      <c r="L87" s="15">
        <v>497710.09</v>
      </c>
      <c r="M87" s="15">
        <f t="shared" si="12"/>
        <v>2376992.81</v>
      </c>
      <c r="N87" s="44">
        <f t="shared" si="13"/>
        <v>0.07249769759</v>
      </c>
    </row>
    <row r="88" ht="14.25" customHeight="1">
      <c r="A88" s="26" t="s">
        <v>29</v>
      </c>
      <c r="B88" s="15">
        <v>87912.95</v>
      </c>
      <c r="C88" s="15">
        <v>116259.67196465502</v>
      </c>
      <c r="D88" s="26">
        <v>67423.54654710318</v>
      </c>
      <c r="E88" s="15">
        <v>233745.766754552</v>
      </c>
      <c r="F88" s="15">
        <v>588360.53</v>
      </c>
      <c r="G88" s="15">
        <v>16007.24553477772</v>
      </c>
      <c r="H88" s="26">
        <v>370049.89</v>
      </c>
      <c r="I88" s="26">
        <v>110137.47948872854</v>
      </c>
      <c r="J88" s="26">
        <v>276204.63191296346</v>
      </c>
      <c r="K88" s="15">
        <v>13181.01</v>
      </c>
      <c r="L88" s="15">
        <v>497710.1</v>
      </c>
      <c r="M88" s="15">
        <f t="shared" si="12"/>
        <v>2376992.822</v>
      </c>
      <c r="N88" s="44">
        <f t="shared" si="13"/>
        <v>0.07249769796</v>
      </c>
    </row>
    <row r="89" ht="14.25" customHeight="1">
      <c r="A89" s="26" t="s">
        <v>30</v>
      </c>
      <c r="B89" s="15">
        <v>87912.95</v>
      </c>
      <c r="C89" s="15">
        <v>116259.67217346825</v>
      </c>
      <c r="D89" s="26">
        <v>67423.54654710318</v>
      </c>
      <c r="E89" s="15">
        <v>233745.76695634276</v>
      </c>
      <c r="F89" s="15">
        <v>588360.11</v>
      </c>
      <c r="G89" s="15">
        <v>16007.24553477772</v>
      </c>
      <c r="H89" s="26">
        <v>370049.89</v>
      </c>
      <c r="I89" s="26">
        <v>110137.47948872854</v>
      </c>
      <c r="J89" s="26">
        <v>276204.63191296346</v>
      </c>
      <c r="K89" s="15">
        <v>13181.01</v>
      </c>
      <c r="L89" s="15">
        <v>497710.11</v>
      </c>
      <c r="M89" s="15">
        <f t="shared" si="12"/>
        <v>2376992.413</v>
      </c>
      <c r="N89" s="44">
        <f t="shared" si="13"/>
        <v>0.07249768547</v>
      </c>
    </row>
    <row r="90" ht="14.25" customHeight="1">
      <c r="A90" s="26" t="s">
        <v>31</v>
      </c>
      <c r="B90" s="15">
        <v>87912.95</v>
      </c>
      <c r="C90" s="15">
        <v>116259.66398925391</v>
      </c>
      <c r="D90" s="26">
        <v>67423.54654710318</v>
      </c>
      <c r="E90" s="15">
        <v>233745.75904736525</v>
      </c>
      <c r="F90" s="15">
        <v>588360.12</v>
      </c>
      <c r="G90" s="15">
        <v>16007.24553477772</v>
      </c>
      <c r="H90" s="26">
        <v>370049.88</v>
      </c>
      <c r="I90" s="26">
        <v>110137.47948872854</v>
      </c>
      <c r="J90" s="26">
        <v>276204.6319129634</v>
      </c>
      <c r="K90" s="15">
        <v>13181.01</v>
      </c>
      <c r="L90" s="15">
        <v>497710.12</v>
      </c>
      <c r="M90" s="15">
        <f t="shared" si="12"/>
        <v>2376992.407</v>
      </c>
      <c r="N90" s="44">
        <f t="shared" si="13"/>
        <v>0.07249768528</v>
      </c>
    </row>
    <row r="91" ht="14.25" customHeight="1">
      <c r="A91" s="26" t="s">
        <v>32</v>
      </c>
      <c r="B91" s="15">
        <v>87912.95</v>
      </c>
      <c r="C91" s="15">
        <v>116259.66100627057</v>
      </c>
      <c r="D91" s="26">
        <v>67423.54654710318</v>
      </c>
      <c r="E91" s="15">
        <v>233745.75616470026</v>
      </c>
      <c r="F91" s="15">
        <v>588360.56</v>
      </c>
      <c r="G91" s="15">
        <v>16007.24553477772</v>
      </c>
      <c r="H91" s="26">
        <v>370049.88</v>
      </c>
      <c r="I91" s="26">
        <v>110137.47948872854</v>
      </c>
      <c r="J91" s="26">
        <v>276204.6319129634</v>
      </c>
      <c r="K91" s="15">
        <v>13181.01</v>
      </c>
      <c r="L91" s="15">
        <v>497710.13</v>
      </c>
      <c r="M91" s="15">
        <f t="shared" si="12"/>
        <v>2376992.851</v>
      </c>
      <c r="N91" s="44">
        <f t="shared" si="13"/>
        <v>0.07249769883</v>
      </c>
    </row>
    <row r="92" ht="14.25" customHeight="1">
      <c r="A92" s="26" t="s">
        <v>34</v>
      </c>
      <c r="B92" s="15">
        <v>0.0</v>
      </c>
      <c r="C92" s="15">
        <v>128732.63682493057</v>
      </c>
      <c r="D92" s="26">
        <v>0.0</v>
      </c>
      <c r="E92" s="15">
        <v>106648.72255368857</v>
      </c>
      <c r="F92" s="15">
        <v>300977.59</v>
      </c>
      <c r="G92" s="15">
        <v>0.0</v>
      </c>
      <c r="H92" s="26">
        <v>342567.77</v>
      </c>
      <c r="I92" s="26">
        <v>0.0</v>
      </c>
      <c r="J92" s="26">
        <v>163278.4071652151</v>
      </c>
      <c r="K92" s="15">
        <v>13181.01</v>
      </c>
      <c r="L92" s="15">
        <v>462794.14</v>
      </c>
      <c r="M92" s="15">
        <f t="shared" si="12"/>
        <v>1518180.277</v>
      </c>
      <c r="N92" s="44">
        <f t="shared" si="13"/>
        <v>0.046304126</v>
      </c>
    </row>
    <row r="93" ht="14.25" customHeight="1">
      <c r="A93" s="26" t="s">
        <v>35</v>
      </c>
      <c r="B93" s="15">
        <v>87912.95</v>
      </c>
      <c r="C93" s="15">
        <v>116259.6633824892</v>
      </c>
      <c r="D93" s="26">
        <v>67423.54654710318</v>
      </c>
      <c r="E93" s="15">
        <v>233745.7584610062</v>
      </c>
      <c r="F93" s="15">
        <v>588360.15</v>
      </c>
      <c r="G93" s="15">
        <v>16007.24553477772</v>
      </c>
      <c r="H93" s="26">
        <v>370049.88</v>
      </c>
      <c r="I93" s="26">
        <v>110137.47948872854</v>
      </c>
      <c r="J93" s="26">
        <v>276204.6319129634</v>
      </c>
      <c r="K93" s="15">
        <v>13181.01</v>
      </c>
      <c r="L93" s="15">
        <v>497710.15</v>
      </c>
      <c r="M93" s="15">
        <f t="shared" si="12"/>
        <v>2376992.465</v>
      </c>
      <c r="N93" s="44">
        <f t="shared" si="13"/>
        <v>0.07249768708</v>
      </c>
    </row>
    <row r="94" ht="14.25" customHeight="1">
      <c r="B94" s="15">
        <f t="shared" ref="B94:M94" si="14">SUM(B79:B93)</f>
        <v>1054955.4</v>
      </c>
      <c r="C94" s="15">
        <f t="shared" si="14"/>
        <v>1639213.225</v>
      </c>
      <c r="D94" s="15">
        <f t="shared" si="14"/>
        <v>876506.1051</v>
      </c>
      <c r="E94" s="15">
        <f t="shared" si="14"/>
        <v>3144477.255</v>
      </c>
      <c r="F94" s="15">
        <f t="shared" si="14"/>
        <v>8022626.94</v>
      </c>
      <c r="G94" s="15">
        <f t="shared" si="14"/>
        <v>208094.192</v>
      </c>
      <c r="H94" s="15">
        <f t="shared" si="14"/>
        <v>5152814.33</v>
      </c>
      <c r="I94" s="15">
        <f t="shared" si="14"/>
        <v>1431787.233</v>
      </c>
      <c r="J94" s="15">
        <f t="shared" si="14"/>
        <v>3761736.927</v>
      </c>
      <c r="K94" s="15">
        <f t="shared" si="14"/>
        <v>197715.15</v>
      </c>
      <c r="L94" s="15">
        <f t="shared" si="14"/>
        <v>7297222.2</v>
      </c>
      <c r="M94" s="15">
        <f t="shared" si="14"/>
        <v>32787148.96</v>
      </c>
      <c r="N94" s="44">
        <f t="shared" si="13"/>
        <v>1</v>
      </c>
    </row>
    <row r="95" ht="14.25" customHeight="1"/>
    <row r="96" ht="14.25" customHeight="1"/>
    <row r="97" ht="14.25" customHeight="1">
      <c r="B97" s="26" t="s">
        <v>225</v>
      </c>
      <c r="C97" s="26" t="s">
        <v>226</v>
      </c>
      <c r="D97" s="26" t="s">
        <v>227</v>
      </c>
      <c r="E97" s="26" t="s">
        <v>228</v>
      </c>
      <c r="F97" s="26" t="s">
        <v>229</v>
      </c>
      <c r="G97" s="26" t="s">
        <v>230</v>
      </c>
      <c r="H97" s="26" t="s">
        <v>221</v>
      </c>
      <c r="I97" s="26" t="s">
        <v>231</v>
      </c>
      <c r="J97" s="26" t="s">
        <v>232</v>
      </c>
      <c r="K97" s="26" t="s">
        <v>233</v>
      </c>
      <c r="L97" s="26" t="s">
        <v>234</v>
      </c>
      <c r="M97" s="26" t="s">
        <v>86</v>
      </c>
    </row>
    <row r="98" ht="14.25" customHeight="1">
      <c r="A98" s="26" t="s">
        <v>5</v>
      </c>
      <c r="B98" s="26">
        <v>0.0</v>
      </c>
      <c r="C98" s="15">
        <v>29008.512964793004</v>
      </c>
      <c r="D98" s="26">
        <v>0.0</v>
      </c>
      <c r="E98" s="15">
        <v>31777.218460933414</v>
      </c>
      <c r="F98" s="15">
        <v>265332.01</v>
      </c>
      <c r="G98" s="15">
        <v>0.0</v>
      </c>
      <c r="H98" s="26">
        <v>161667.7671668146</v>
      </c>
      <c r="I98" s="26">
        <v>13149.01</v>
      </c>
      <c r="J98" s="15">
        <v>0.0</v>
      </c>
      <c r="K98" s="26">
        <v>153204.6992532936</v>
      </c>
      <c r="L98" s="26">
        <v>19392.01</v>
      </c>
      <c r="M98" s="26">
        <v>569482.01</v>
      </c>
      <c r="N98" s="15">
        <f t="shared" ref="N98:N112" si="15">SUM(B98:M98)</f>
        <v>1243013.238</v>
      </c>
      <c r="O98" s="44">
        <f t="shared" ref="O98:O112" si="16">N98/SUM(N$98:N$112)</f>
        <v>0.03743603861</v>
      </c>
    </row>
    <row r="99" ht="14.25" customHeight="1">
      <c r="A99" s="26" t="s">
        <v>18</v>
      </c>
      <c r="B99" s="15">
        <v>9396.303076923077</v>
      </c>
      <c r="C99" s="15">
        <v>83330.65758441552</v>
      </c>
      <c r="D99" s="26">
        <v>1512.1296886485497</v>
      </c>
      <c r="E99" s="15">
        <v>45611.70237120785</v>
      </c>
      <c r="F99" s="15">
        <v>307956.02</v>
      </c>
      <c r="G99" s="15">
        <v>94687.720941293</v>
      </c>
      <c r="H99" s="26">
        <v>593542.2949496498</v>
      </c>
      <c r="I99" s="26">
        <v>27047.02</v>
      </c>
      <c r="J99" s="26">
        <v>12505.256153846156</v>
      </c>
      <c r="K99" s="26">
        <v>196462.06022799073</v>
      </c>
      <c r="L99" s="26">
        <v>19392.02</v>
      </c>
      <c r="M99" s="15">
        <v>836454.02</v>
      </c>
      <c r="N99" s="15">
        <f t="shared" si="15"/>
        <v>2227897.205</v>
      </c>
      <c r="O99" s="44">
        <f t="shared" si="16"/>
        <v>0.06709795458</v>
      </c>
    </row>
    <row r="100" ht="14.25" customHeight="1">
      <c r="A100" s="26" t="s">
        <v>20</v>
      </c>
      <c r="B100" s="15">
        <v>9396.303076923077</v>
      </c>
      <c r="C100" s="15">
        <v>81485.42092413492</v>
      </c>
      <c r="D100" s="26">
        <v>1512.1296886485497</v>
      </c>
      <c r="E100" s="15">
        <v>45611.70237120786</v>
      </c>
      <c r="F100" s="15">
        <v>319894.03</v>
      </c>
      <c r="G100" s="15">
        <v>94687.720941293</v>
      </c>
      <c r="H100" s="26">
        <v>593542.2949496498</v>
      </c>
      <c r="I100" s="26">
        <v>108605.03</v>
      </c>
      <c r="J100" s="26">
        <v>12505.256153846156</v>
      </c>
      <c r="K100" s="26">
        <v>196462.06022799073</v>
      </c>
      <c r="L100" s="26">
        <v>19392.03</v>
      </c>
      <c r="M100" s="15">
        <v>836403.03</v>
      </c>
      <c r="N100" s="15">
        <f t="shared" si="15"/>
        <v>2319497.008</v>
      </c>
      <c r="O100" s="44">
        <f t="shared" si="16"/>
        <v>0.06985668125</v>
      </c>
    </row>
    <row r="101" ht="14.25" customHeight="1">
      <c r="A101" s="26" t="s">
        <v>23</v>
      </c>
      <c r="B101" s="15">
        <v>9396.303076923077</v>
      </c>
      <c r="C101" s="15">
        <v>81485.4206782571</v>
      </c>
      <c r="D101" s="26">
        <v>1512.1296886485497</v>
      </c>
      <c r="E101" s="15">
        <v>45611.70237120785</v>
      </c>
      <c r="F101" s="15">
        <v>319894.57999999996</v>
      </c>
      <c r="G101" s="15">
        <v>94687.720941293</v>
      </c>
      <c r="H101" s="26">
        <v>593542.2949496498</v>
      </c>
      <c r="I101" s="26">
        <v>108605.04</v>
      </c>
      <c r="J101" s="26">
        <v>12505.256153846156</v>
      </c>
      <c r="K101" s="26">
        <v>196462.06022799073</v>
      </c>
      <c r="L101" s="26">
        <v>19392.04</v>
      </c>
      <c r="M101" s="15">
        <v>836403.04</v>
      </c>
      <c r="N101" s="15">
        <f t="shared" si="15"/>
        <v>2319497.588</v>
      </c>
      <c r="O101" s="44">
        <f t="shared" si="16"/>
        <v>0.06985669871</v>
      </c>
    </row>
    <row r="102" ht="14.25" customHeight="1">
      <c r="A102" s="26" t="s">
        <v>24</v>
      </c>
      <c r="B102" s="15">
        <v>9396.303076923077</v>
      </c>
      <c r="C102" s="15">
        <v>81485.41998964438</v>
      </c>
      <c r="D102" s="26">
        <v>1512.1296886485497</v>
      </c>
      <c r="E102" s="15">
        <v>45611.70237120785</v>
      </c>
      <c r="F102" s="15">
        <v>319894.05</v>
      </c>
      <c r="G102" s="15">
        <v>94687.720941293</v>
      </c>
      <c r="H102" s="26">
        <v>593542.2949496498</v>
      </c>
      <c r="I102" s="26">
        <v>108605.05</v>
      </c>
      <c r="J102" s="26">
        <v>12505.256153846156</v>
      </c>
      <c r="K102" s="26">
        <v>196462.06022799073</v>
      </c>
      <c r="L102" s="26">
        <v>19392.05</v>
      </c>
      <c r="M102" s="15">
        <v>836403.05</v>
      </c>
      <c r="N102" s="15">
        <f t="shared" si="15"/>
        <v>2319497.087</v>
      </c>
      <c r="O102" s="44">
        <f t="shared" si="16"/>
        <v>0.06985668364</v>
      </c>
    </row>
    <row r="103" ht="14.25" customHeight="1">
      <c r="A103" s="26" t="s">
        <v>25</v>
      </c>
      <c r="B103" s="15">
        <v>9396.303076923077</v>
      </c>
      <c r="C103" s="15">
        <v>81485.4191942858</v>
      </c>
      <c r="D103" s="26">
        <v>1512.1296886485497</v>
      </c>
      <c r="E103" s="15">
        <v>45611.70237120785</v>
      </c>
      <c r="F103" s="15">
        <v>319894.06</v>
      </c>
      <c r="G103" s="15">
        <v>94687.720941293</v>
      </c>
      <c r="H103" s="26">
        <v>593542.2949496498</v>
      </c>
      <c r="I103" s="26">
        <v>108605.06</v>
      </c>
      <c r="J103" s="26">
        <v>12505.256153846156</v>
      </c>
      <c r="K103" s="26">
        <v>196462.06022799073</v>
      </c>
      <c r="L103" s="26">
        <v>19392.06</v>
      </c>
      <c r="M103" s="15">
        <v>836403.06</v>
      </c>
      <c r="N103" s="15">
        <f t="shared" si="15"/>
        <v>2319497.127</v>
      </c>
      <c r="O103" s="44">
        <f t="shared" si="16"/>
        <v>0.06985668482</v>
      </c>
    </row>
    <row r="104" ht="14.25" customHeight="1">
      <c r="A104" s="26" t="s">
        <v>26</v>
      </c>
      <c r="B104" s="15">
        <v>9396.303076923077</v>
      </c>
      <c r="C104" s="15">
        <v>81485.41905127154</v>
      </c>
      <c r="D104" s="26">
        <v>1512.1296886485497</v>
      </c>
      <c r="E104" s="15">
        <v>45611.70237120785</v>
      </c>
      <c r="F104" s="15">
        <v>319894.07</v>
      </c>
      <c r="G104" s="15">
        <v>94687.720941293</v>
      </c>
      <c r="H104" s="26">
        <v>593542.2949496498</v>
      </c>
      <c r="I104" s="26">
        <v>108605.07</v>
      </c>
      <c r="J104" s="26">
        <v>12505.256153846156</v>
      </c>
      <c r="K104" s="26">
        <v>196462.06022799073</v>
      </c>
      <c r="L104" s="26">
        <v>19392.07</v>
      </c>
      <c r="M104" s="15">
        <v>836403.07</v>
      </c>
      <c r="N104" s="15">
        <f t="shared" si="15"/>
        <v>2319497.166</v>
      </c>
      <c r="O104" s="44">
        <f t="shared" si="16"/>
        <v>0.06985668602</v>
      </c>
    </row>
    <row r="105" ht="14.25" customHeight="1">
      <c r="A105" s="26" t="s">
        <v>27</v>
      </c>
      <c r="B105" s="15">
        <v>9396.303076923077</v>
      </c>
      <c r="C105" s="15">
        <v>81485.41832796297</v>
      </c>
      <c r="D105" s="26">
        <v>1512.1296886485497</v>
      </c>
      <c r="E105" s="15">
        <v>45611.70237120786</v>
      </c>
      <c r="F105" s="15">
        <v>319894.08</v>
      </c>
      <c r="G105" s="15">
        <v>94687.720941293</v>
      </c>
      <c r="H105" s="26">
        <v>593542.2949496498</v>
      </c>
      <c r="I105" s="26">
        <v>108605.08</v>
      </c>
      <c r="J105" s="26">
        <v>12505.256153846156</v>
      </c>
      <c r="K105" s="26">
        <v>196462.06022799073</v>
      </c>
      <c r="L105" s="26">
        <v>19392.08</v>
      </c>
      <c r="M105" s="15">
        <v>836403.08</v>
      </c>
      <c r="N105" s="15">
        <f t="shared" si="15"/>
        <v>2319497.206</v>
      </c>
      <c r="O105" s="44">
        <f t="shared" si="16"/>
        <v>0.0698566872</v>
      </c>
    </row>
    <row r="106" ht="14.25" customHeight="1">
      <c r="A106" s="26" t="s">
        <v>28</v>
      </c>
      <c r="B106" s="15">
        <v>9396.303076923077</v>
      </c>
      <c r="C106" s="15">
        <v>81485.41145441978</v>
      </c>
      <c r="D106" s="26">
        <v>1512.1296886485497</v>
      </c>
      <c r="E106" s="15">
        <v>45611.70237120785</v>
      </c>
      <c r="F106" s="15">
        <v>319894.09</v>
      </c>
      <c r="G106" s="15">
        <v>94687.720941293</v>
      </c>
      <c r="H106" s="26">
        <v>593542.2949496498</v>
      </c>
      <c r="I106" s="26">
        <v>108605.09</v>
      </c>
      <c r="J106" s="26">
        <v>12505.256153846156</v>
      </c>
      <c r="K106" s="26">
        <v>196462.06022799073</v>
      </c>
      <c r="L106" s="26">
        <v>19392.09</v>
      </c>
      <c r="M106" s="15">
        <v>836403.09</v>
      </c>
      <c r="N106" s="15">
        <f t="shared" si="15"/>
        <v>2319497.239</v>
      </c>
      <c r="O106" s="44">
        <f t="shared" si="16"/>
        <v>0.0698566882</v>
      </c>
    </row>
    <row r="107" ht="14.25" customHeight="1">
      <c r="A107" s="26" t="s">
        <v>29</v>
      </c>
      <c r="B107" s="15">
        <v>9396.303076923077</v>
      </c>
      <c r="C107" s="15">
        <v>81485.41112774202</v>
      </c>
      <c r="D107" s="26">
        <v>1512.1296886485497</v>
      </c>
      <c r="E107" s="15">
        <v>45611.70237120785</v>
      </c>
      <c r="F107" s="15">
        <v>319894.63999999996</v>
      </c>
      <c r="G107" s="15">
        <v>94687.720941293</v>
      </c>
      <c r="H107" s="26">
        <v>593542.2949496498</v>
      </c>
      <c r="I107" s="26">
        <v>108605.1</v>
      </c>
      <c r="J107" s="26">
        <v>12505.256153846156</v>
      </c>
      <c r="K107" s="26">
        <v>196462.06022799073</v>
      </c>
      <c r="L107" s="26">
        <v>19392.1</v>
      </c>
      <c r="M107" s="15">
        <v>836403.1</v>
      </c>
      <c r="N107" s="15">
        <f t="shared" si="15"/>
        <v>2319497.819</v>
      </c>
      <c r="O107" s="44">
        <f t="shared" si="16"/>
        <v>0.06985670565</v>
      </c>
    </row>
    <row r="108" ht="14.25" customHeight="1">
      <c r="A108" s="26" t="s">
        <v>30</v>
      </c>
      <c r="B108" s="15">
        <v>9396.303076923077</v>
      </c>
      <c r="C108" s="15">
        <v>81485.41700436448</v>
      </c>
      <c r="D108" s="26">
        <v>1512.1296886485497</v>
      </c>
      <c r="E108" s="15">
        <v>45611.70237120785</v>
      </c>
      <c r="F108" s="15">
        <v>319894.11</v>
      </c>
      <c r="G108" s="15">
        <v>94687.720941293</v>
      </c>
      <c r="H108" s="26">
        <v>593542.2949496498</v>
      </c>
      <c r="I108" s="26">
        <v>108605.11</v>
      </c>
      <c r="J108" s="26">
        <v>12505.256153846156</v>
      </c>
      <c r="K108" s="26">
        <v>196462.06022799073</v>
      </c>
      <c r="L108" s="26">
        <v>19392.11</v>
      </c>
      <c r="M108" s="15">
        <v>836403.11</v>
      </c>
      <c r="N108" s="15">
        <f t="shared" si="15"/>
        <v>2319497.324</v>
      </c>
      <c r="O108" s="44">
        <f t="shared" si="16"/>
        <v>0.06985669077</v>
      </c>
    </row>
    <row r="109" ht="14.25" customHeight="1">
      <c r="A109" s="26" t="s">
        <v>31</v>
      </c>
      <c r="B109" s="15">
        <v>9396.303076923077</v>
      </c>
      <c r="C109" s="15">
        <v>81485.41694690839</v>
      </c>
      <c r="D109" s="26">
        <v>1512.1296886485497</v>
      </c>
      <c r="E109" s="15">
        <v>45611.702371207844</v>
      </c>
      <c r="F109" s="15">
        <v>319894.12</v>
      </c>
      <c r="G109" s="15">
        <v>94687.720941293</v>
      </c>
      <c r="H109" s="26">
        <v>593542.2949496498</v>
      </c>
      <c r="I109" s="26">
        <v>108605.12</v>
      </c>
      <c r="J109" s="26">
        <v>12505.256153846156</v>
      </c>
      <c r="K109" s="26">
        <v>196462.0602279907</v>
      </c>
      <c r="L109" s="26">
        <v>19392.12</v>
      </c>
      <c r="M109" s="15">
        <v>836403.12</v>
      </c>
      <c r="N109" s="15">
        <f t="shared" si="15"/>
        <v>2319497.364</v>
      </c>
      <c r="O109" s="44">
        <f t="shared" si="16"/>
        <v>0.06985669198</v>
      </c>
    </row>
    <row r="110" ht="14.25" customHeight="1">
      <c r="A110" s="26" t="s">
        <v>32</v>
      </c>
      <c r="B110" s="15">
        <v>9396.303076923077</v>
      </c>
      <c r="C110" s="15">
        <v>81485.41026811223</v>
      </c>
      <c r="D110" s="26">
        <v>1512.1296886485497</v>
      </c>
      <c r="E110" s="15">
        <v>45611.702371207844</v>
      </c>
      <c r="F110" s="15">
        <v>319894.67</v>
      </c>
      <c r="G110" s="15">
        <v>94687.720941293</v>
      </c>
      <c r="H110" s="26">
        <v>593542.2949496498</v>
      </c>
      <c r="I110" s="26">
        <v>108605.13</v>
      </c>
      <c r="J110" s="26">
        <v>12505.256153846156</v>
      </c>
      <c r="K110" s="26">
        <v>196462.0602279907</v>
      </c>
      <c r="L110" s="26">
        <v>19392.13</v>
      </c>
      <c r="M110" s="15">
        <v>836403.13</v>
      </c>
      <c r="N110" s="15">
        <f t="shared" si="15"/>
        <v>2319497.938</v>
      </c>
      <c r="O110" s="44">
        <f t="shared" si="16"/>
        <v>0.06985670924</v>
      </c>
    </row>
    <row r="111" ht="14.25" customHeight="1">
      <c r="A111" s="26" t="s">
        <v>34</v>
      </c>
      <c r="B111" s="15">
        <v>0.0</v>
      </c>
      <c r="C111" s="15">
        <v>94859.35034283153</v>
      </c>
      <c r="D111" s="26">
        <v>0.0</v>
      </c>
      <c r="E111" s="15">
        <v>31777.218460933414</v>
      </c>
      <c r="F111" s="15">
        <v>305323.14</v>
      </c>
      <c r="G111" s="15">
        <v>0.0</v>
      </c>
      <c r="H111" s="26">
        <v>584382.3957581061</v>
      </c>
      <c r="I111" s="26">
        <v>27047.14</v>
      </c>
      <c r="J111" s="26">
        <v>0.0</v>
      </c>
      <c r="K111" s="26">
        <v>191120.7438828274</v>
      </c>
      <c r="L111" s="26">
        <v>19392.14</v>
      </c>
      <c r="M111" s="15">
        <v>644872.14</v>
      </c>
      <c r="N111" s="15">
        <f t="shared" si="15"/>
        <v>1898774.268</v>
      </c>
      <c r="O111" s="44">
        <f t="shared" si="16"/>
        <v>0.05718570378</v>
      </c>
    </row>
    <row r="112" ht="14.25" customHeight="1">
      <c r="A112" s="26" t="s">
        <v>35</v>
      </c>
      <c r="B112" s="15">
        <v>9396.303076923077</v>
      </c>
      <c r="C112" s="15">
        <v>81485.41564085653</v>
      </c>
      <c r="D112" s="26">
        <v>1512.1296886485497</v>
      </c>
      <c r="E112" s="15">
        <v>45611.702371207844</v>
      </c>
      <c r="F112" s="15">
        <v>319894.15</v>
      </c>
      <c r="G112" s="15">
        <v>94687.720941293</v>
      </c>
      <c r="H112" s="26">
        <v>593542.2949496498</v>
      </c>
      <c r="I112" s="26">
        <v>108605.15</v>
      </c>
      <c r="J112" s="26">
        <v>12505.256153846156</v>
      </c>
      <c r="K112" s="26">
        <v>196462.0602279907</v>
      </c>
      <c r="L112" s="26">
        <v>19392.15</v>
      </c>
      <c r="M112" s="15">
        <v>836403.15</v>
      </c>
      <c r="N112" s="15">
        <f t="shared" si="15"/>
        <v>2319497.483</v>
      </c>
      <c r="O112" s="44">
        <f t="shared" si="16"/>
        <v>0.06985669555</v>
      </c>
    </row>
    <row r="113" ht="14.25" customHeight="1">
      <c r="B113" s="15">
        <f t="shared" ref="B113:O113" si="17">SUM(B98:B112)</f>
        <v>122151.94</v>
      </c>
      <c r="C113" s="15">
        <f t="shared" si="17"/>
        <v>1185023.522</v>
      </c>
      <c r="D113" s="15">
        <f t="shared" si="17"/>
        <v>19657.68595</v>
      </c>
      <c r="E113" s="15">
        <f t="shared" si="17"/>
        <v>656506.5677</v>
      </c>
      <c r="F113" s="15">
        <f t="shared" si="17"/>
        <v>4717341.82</v>
      </c>
      <c r="G113" s="15">
        <f t="shared" si="17"/>
        <v>1230940.372</v>
      </c>
      <c r="H113" s="15">
        <f t="shared" si="17"/>
        <v>8462099.997</v>
      </c>
      <c r="I113" s="15">
        <f t="shared" si="17"/>
        <v>1370504.2</v>
      </c>
      <c r="J113" s="15">
        <f t="shared" si="17"/>
        <v>162568.33</v>
      </c>
      <c r="K113" s="15">
        <f t="shared" si="17"/>
        <v>2898332.226</v>
      </c>
      <c r="L113" s="15">
        <f t="shared" si="17"/>
        <v>290881.2</v>
      </c>
      <c r="M113" s="15">
        <f t="shared" si="17"/>
        <v>12087645.2</v>
      </c>
      <c r="N113" s="15">
        <f t="shared" si="17"/>
        <v>33203653.06</v>
      </c>
      <c r="O113" s="44">
        <f t="shared" si="17"/>
        <v>1</v>
      </c>
    </row>
    <row r="114" ht="14.25" customHeight="1"/>
    <row r="115" ht="14.25" customHeight="1"/>
    <row r="116" ht="14.25" customHeight="1">
      <c r="B116" s="26" t="s">
        <v>254</v>
      </c>
      <c r="C116" s="26" t="s">
        <v>255</v>
      </c>
      <c r="D116" s="26" t="s">
        <v>256</v>
      </c>
      <c r="E116" s="26" t="s">
        <v>257</v>
      </c>
      <c r="F116" s="26" t="s">
        <v>92</v>
      </c>
      <c r="G116" s="61" t="s">
        <v>258</v>
      </c>
      <c r="H116" s="61" t="s">
        <v>259</v>
      </c>
      <c r="I116" s="61" t="s">
        <v>260</v>
      </c>
      <c r="J116" s="61" t="s">
        <v>261</v>
      </c>
      <c r="K116" s="61" t="s">
        <v>262</v>
      </c>
      <c r="L116" s="61" t="s">
        <v>263</v>
      </c>
    </row>
    <row r="117" ht="14.25" customHeight="1">
      <c r="A117" s="26" t="s">
        <v>5</v>
      </c>
      <c r="B117" s="26">
        <v>0.0</v>
      </c>
      <c r="C117" s="15">
        <v>124730.62423870275</v>
      </c>
      <c r="D117" s="26">
        <v>0.0</v>
      </c>
      <c r="E117" s="15">
        <v>206969.77154529674</v>
      </c>
      <c r="F117" s="15">
        <v>286620.01</v>
      </c>
      <c r="G117" s="15">
        <v>0.0</v>
      </c>
      <c r="H117" s="26">
        <v>515646.69334780704</v>
      </c>
      <c r="I117" s="26">
        <v>0.0</v>
      </c>
      <c r="J117" s="15">
        <v>76531.86454977292</v>
      </c>
      <c r="K117" s="26">
        <v>23502.01</v>
      </c>
      <c r="L117" s="26">
        <v>474831.01</v>
      </c>
      <c r="M117" s="15">
        <f t="shared" ref="M117:M131" si="18">SUM(B117:L117)</f>
        <v>1708831.984</v>
      </c>
      <c r="N117" s="44">
        <f t="shared" ref="N117:N131" si="19">M117/SUM(M$117:M$131)</f>
        <v>0.04856185321</v>
      </c>
    </row>
    <row r="118" ht="14.25" customHeight="1">
      <c r="A118" s="26" t="s">
        <v>18</v>
      </c>
      <c r="B118" s="15">
        <v>152.6678741068127</v>
      </c>
      <c r="C118" s="15">
        <v>148075.26928556486</v>
      </c>
      <c r="D118" s="26">
        <v>1229.62</v>
      </c>
      <c r="E118" s="15">
        <v>398959.9844739835</v>
      </c>
      <c r="F118" s="15">
        <v>314333.02</v>
      </c>
      <c r="G118" s="15">
        <v>94092.96166031848</v>
      </c>
      <c r="H118" s="26">
        <v>523944.54692894995</v>
      </c>
      <c r="I118" s="26">
        <v>94396.17923076924</v>
      </c>
      <c r="J118" s="26">
        <v>84107.02333930194</v>
      </c>
      <c r="K118" s="26">
        <v>23502.02</v>
      </c>
      <c r="L118" s="26">
        <v>694400.02</v>
      </c>
      <c r="M118" s="15">
        <f t="shared" si="18"/>
        <v>2377193.313</v>
      </c>
      <c r="N118" s="44">
        <f t="shared" si="19"/>
        <v>0.06755544946</v>
      </c>
    </row>
    <row r="119" ht="14.25" customHeight="1">
      <c r="A119" s="26" t="s">
        <v>20</v>
      </c>
      <c r="B119" s="15">
        <v>152.6678741068127</v>
      </c>
      <c r="C119" s="15">
        <v>148075.26928556483</v>
      </c>
      <c r="D119" s="26">
        <v>1229.62</v>
      </c>
      <c r="E119" s="15">
        <v>398601.37224643264</v>
      </c>
      <c r="F119" s="15">
        <v>340984.03</v>
      </c>
      <c r="G119" s="15">
        <v>94092.96166031848</v>
      </c>
      <c r="H119" s="26">
        <v>523944.54692894995</v>
      </c>
      <c r="I119" s="26">
        <v>94396.17923076924</v>
      </c>
      <c r="J119" s="26">
        <v>84107.02333930194</v>
      </c>
      <c r="K119" s="26">
        <v>23502.03</v>
      </c>
      <c r="L119" s="26">
        <v>702889.03</v>
      </c>
      <c r="M119" s="15">
        <f t="shared" si="18"/>
        <v>2411974.731</v>
      </c>
      <c r="N119" s="44">
        <f t="shared" si="19"/>
        <v>0.0685438732</v>
      </c>
    </row>
    <row r="120" ht="14.25" customHeight="1">
      <c r="A120" s="26" t="s">
        <v>23</v>
      </c>
      <c r="B120" s="15">
        <v>152.6678741068127</v>
      </c>
      <c r="C120" s="15">
        <v>148075.26928556486</v>
      </c>
      <c r="D120" s="26">
        <v>1229.62</v>
      </c>
      <c r="E120" s="15">
        <v>398601.3699767016</v>
      </c>
      <c r="F120" s="15">
        <v>340983.58999999997</v>
      </c>
      <c r="G120" s="15">
        <v>94092.96166031848</v>
      </c>
      <c r="H120" s="26">
        <v>523944.54692894995</v>
      </c>
      <c r="I120" s="26">
        <v>94396.17923076924</v>
      </c>
      <c r="J120" s="26">
        <v>84107.02333930194</v>
      </c>
      <c r="K120" s="26">
        <v>23502.04</v>
      </c>
      <c r="L120" s="26">
        <v>702889.04</v>
      </c>
      <c r="M120" s="15">
        <f t="shared" si="18"/>
        <v>2411974.308</v>
      </c>
      <c r="N120" s="44">
        <f t="shared" si="19"/>
        <v>0.0685438612</v>
      </c>
    </row>
    <row r="121" ht="14.25" customHeight="1">
      <c r="A121" s="26" t="s">
        <v>24</v>
      </c>
      <c r="B121" s="15">
        <v>152.6678741068127</v>
      </c>
      <c r="C121" s="15">
        <v>148075.26928556486</v>
      </c>
      <c r="D121" s="26">
        <v>1229.62</v>
      </c>
      <c r="E121" s="15">
        <v>398601.37193689204</v>
      </c>
      <c r="F121" s="15">
        <v>340984.05</v>
      </c>
      <c r="G121" s="15">
        <v>94092.96166031848</v>
      </c>
      <c r="H121" s="26">
        <v>523944.54692894995</v>
      </c>
      <c r="I121" s="26">
        <v>94396.17923076924</v>
      </c>
      <c r="J121" s="26">
        <v>84107.02333930194</v>
      </c>
      <c r="K121" s="26">
        <v>23502.05</v>
      </c>
      <c r="L121" s="26">
        <v>702889.05</v>
      </c>
      <c r="M121" s="15">
        <f t="shared" si="18"/>
        <v>2411974.79</v>
      </c>
      <c r="N121" s="44">
        <f t="shared" si="19"/>
        <v>0.0685438749</v>
      </c>
    </row>
    <row r="122" ht="14.25" customHeight="1">
      <c r="A122" s="26" t="s">
        <v>25</v>
      </c>
      <c r="B122" s="15">
        <v>152.6678741068127</v>
      </c>
      <c r="C122" s="15">
        <v>148075.26928556486</v>
      </c>
      <c r="D122" s="26">
        <v>1229.62</v>
      </c>
      <c r="E122" s="15">
        <v>398601.37178340636</v>
      </c>
      <c r="F122" s="15">
        <v>340984.06</v>
      </c>
      <c r="G122" s="15">
        <v>94092.96166031848</v>
      </c>
      <c r="H122" s="26">
        <v>523944.54692894995</v>
      </c>
      <c r="I122" s="26">
        <v>94396.17923076924</v>
      </c>
      <c r="J122" s="26">
        <v>84107.02333930194</v>
      </c>
      <c r="K122" s="26">
        <v>23502.06</v>
      </c>
      <c r="L122" s="26">
        <v>702889.06</v>
      </c>
      <c r="M122" s="15">
        <f t="shared" si="18"/>
        <v>2411974.82</v>
      </c>
      <c r="N122" s="44">
        <f t="shared" si="19"/>
        <v>0.06854387575</v>
      </c>
    </row>
    <row r="123" ht="14.25" customHeight="1">
      <c r="A123" s="26" t="s">
        <v>26</v>
      </c>
      <c r="B123" s="15">
        <v>152.6678741068127</v>
      </c>
      <c r="C123" s="15">
        <v>148075.26928556486</v>
      </c>
      <c r="D123" s="26">
        <v>1229.62</v>
      </c>
      <c r="E123" s="15">
        <v>398601.37162736664</v>
      </c>
      <c r="F123" s="15">
        <v>340984.07</v>
      </c>
      <c r="G123" s="15">
        <v>94092.96166031848</v>
      </c>
      <c r="H123" s="26">
        <v>523944.54692894995</v>
      </c>
      <c r="I123" s="26">
        <v>94396.17923076924</v>
      </c>
      <c r="J123" s="26">
        <v>84107.02333930194</v>
      </c>
      <c r="K123" s="26">
        <v>23502.07</v>
      </c>
      <c r="L123" s="26">
        <v>702889.07</v>
      </c>
      <c r="M123" s="15">
        <f t="shared" si="18"/>
        <v>2411974.85</v>
      </c>
      <c r="N123" s="44">
        <f t="shared" si="19"/>
        <v>0.06854387659</v>
      </c>
    </row>
    <row r="124" ht="14.25" customHeight="1">
      <c r="A124" s="26" t="s">
        <v>27</v>
      </c>
      <c r="B124" s="15">
        <v>152.6678741068127</v>
      </c>
      <c r="C124" s="15">
        <v>148075.26928556486</v>
      </c>
      <c r="D124" s="26">
        <v>1229.62</v>
      </c>
      <c r="E124" s="15">
        <v>398601.3714735988</v>
      </c>
      <c r="F124" s="15">
        <v>340984.08</v>
      </c>
      <c r="G124" s="15">
        <v>94092.96166031848</v>
      </c>
      <c r="H124" s="26">
        <v>523944.54692894995</v>
      </c>
      <c r="I124" s="26">
        <v>94396.17923076924</v>
      </c>
      <c r="J124" s="26">
        <v>84107.02333930194</v>
      </c>
      <c r="K124" s="26">
        <v>23502.08</v>
      </c>
      <c r="L124" s="26">
        <v>702889.08</v>
      </c>
      <c r="M124" s="15">
        <f t="shared" si="18"/>
        <v>2411974.88</v>
      </c>
      <c r="N124" s="44">
        <f t="shared" si="19"/>
        <v>0.06854387744</v>
      </c>
    </row>
    <row r="125" ht="14.25" customHeight="1">
      <c r="A125" s="26" t="s">
        <v>28</v>
      </c>
      <c r="B125" s="15">
        <v>152.6678741068127</v>
      </c>
      <c r="C125" s="15">
        <v>148075.26928556486</v>
      </c>
      <c r="D125" s="26">
        <v>1229.62</v>
      </c>
      <c r="E125" s="15">
        <v>398601.3713439091</v>
      </c>
      <c r="F125" s="15">
        <v>340984.51</v>
      </c>
      <c r="G125" s="15">
        <v>94092.96166031848</v>
      </c>
      <c r="H125" s="26">
        <v>523944.54692894995</v>
      </c>
      <c r="I125" s="26">
        <v>94396.17923076924</v>
      </c>
      <c r="J125" s="26">
        <v>84107.02333930194</v>
      </c>
      <c r="K125" s="26">
        <v>23502.09</v>
      </c>
      <c r="L125" s="26">
        <v>702889.09</v>
      </c>
      <c r="M125" s="15">
        <f t="shared" si="18"/>
        <v>2411975.33</v>
      </c>
      <c r="N125" s="44">
        <f t="shared" si="19"/>
        <v>0.06854389023</v>
      </c>
    </row>
    <row r="126" ht="14.25" customHeight="1">
      <c r="A126" s="26" t="s">
        <v>29</v>
      </c>
      <c r="B126" s="15">
        <v>152.6678741068127</v>
      </c>
      <c r="C126" s="15">
        <v>148075.26928556486</v>
      </c>
      <c r="D126" s="26">
        <v>1229.62</v>
      </c>
      <c r="E126" s="15">
        <v>398601.3690744944</v>
      </c>
      <c r="F126" s="15">
        <v>340984.1</v>
      </c>
      <c r="G126" s="15">
        <v>94092.96166031848</v>
      </c>
      <c r="H126" s="26">
        <v>523944.54692894995</v>
      </c>
      <c r="I126" s="26">
        <v>94396.17923076924</v>
      </c>
      <c r="J126" s="26">
        <v>84107.02333930194</v>
      </c>
      <c r="K126" s="26">
        <v>23502.1</v>
      </c>
      <c r="L126" s="26">
        <v>702889.1</v>
      </c>
      <c r="M126" s="15">
        <f t="shared" si="18"/>
        <v>2411974.937</v>
      </c>
      <c r="N126" s="44">
        <f t="shared" si="19"/>
        <v>0.06854387908</v>
      </c>
    </row>
    <row r="127" ht="14.25" customHeight="1">
      <c r="A127" s="26" t="s">
        <v>30</v>
      </c>
      <c r="B127" s="15">
        <v>152.6678741068127</v>
      </c>
      <c r="C127" s="15">
        <v>148075.26928556483</v>
      </c>
      <c r="D127" s="26">
        <v>1229.62</v>
      </c>
      <c r="E127" s="15">
        <v>398601.371008982</v>
      </c>
      <c r="F127" s="15">
        <v>340984.11</v>
      </c>
      <c r="G127" s="15">
        <v>94092.96166031848</v>
      </c>
      <c r="H127" s="26">
        <v>523944.54692894995</v>
      </c>
      <c r="I127" s="26">
        <v>94396.17923076924</v>
      </c>
      <c r="J127" s="26">
        <v>84107.02333930194</v>
      </c>
      <c r="K127" s="26">
        <v>23502.11</v>
      </c>
      <c r="L127" s="26">
        <v>702889.11</v>
      </c>
      <c r="M127" s="15">
        <f t="shared" si="18"/>
        <v>2411974.969</v>
      </c>
      <c r="N127" s="44">
        <f t="shared" si="19"/>
        <v>0.06854387999</v>
      </c>
    </row>
    <row r="128" ht="14.25" customHeight="1">
      <c r="A128" s="26" t="s">
        <v>31</v>
      </c>
      <c r="B128" s="15">
        <v>152.6678741068127</v>
      </c>
      <c r="C128" s="15">
        <v>148075.26928556486</v>
      </c>
      <c r="D128" s="26">
        <v>1229.62</v>
      </c>
      <c r="E128" s="15">
        <v>398601.3708526074</v>
      </c>
      <c r="F128" s="15">
        <v>340984.12</v>
      </c>
      <c r="G128" s="15">
        <v>94092.96166031848</v>
      </c>
      <c r="H128" s="26">
        <v>523944.54692894995</v>
      </c>
      <c r="I128" s="26">
        <v>94396.17923076924</v>
      </c>
      <c r="J128" s="26">
        <v>84107.02333930194</v>
      </c>
      <c r="K128" s="26">
        <v>23502.12</v>
      </c>
      <c r="L128" s="26">
        <v>702889.12</v>
      </c>
      <c r="M128" s="15">
        <f t="shared" si="18"/>
        <v>2411974.999</v>
      </c>
      <c r="N128" s="44">
        <f t="shared" si="19"/>
        <v>0.06854388084</v>
      </c>
    </row>
    <row r="129" ht="14.25" customHeight="1">
      <c r="A129" s="26" t="s">
        <v>32</v>
      </c>
      <c r="B129" s="15">
        <v>152.6678741068127</v>
      </c>
      <c r="C129" s="15">
        <v>148075.26928556486</v>
      </c>
      <c r="D129" s="26">
        <v>1229.62</v>
      </c>
      <c r="E129" s="15">
        <v>398601.3686080611</v>
      </c>
      <c r="F129" s="15">
        <v>340984.13</v>
      </c>
      <c r="G129" s="15">
        <v>94092.96166031848</v>
      </c>
      <c r="H129" s="26">
        <v>523944.54692894995</v>
      </c>
      <c r="I129" s="26">
        <v>94396.17923076924</v>
      </c>
      <c r="J129" s="26">
        <v>84107.02333930194</v>
      </c>
      <c r="K129" s="26">
        <v>23502.13</v>
      </c>
      <c r="L129" s="26">
        <v>702889.13</v>
      </c>
      <c r="M129" s="15">
        <f t="shared" si="18"/>
        <v>2411975.027</v>
      </c>
      <c r="N129" s="44">
        <f t="shared" si="19"/>
        <v>0.06854388162</v>
      </c>
    </row>
    <row r="130" ht="14.25" customHeight="1">
      <c r="A130" s="26" t="s">
        <v>34</v>
      </c>
      <c r="B130" s="15">
        <v>0.0</v>
      </c>
      <c r="C130" s="15">
        <v>148075.26928556486</v>
      </c>
      <c r="D130" s="26">
        <v>0.0</v>
      </c>
      <c r="E130" s="15">
        <v>396812.2963135041</v>
      </c>
      <c r="F130" s="15">
        <v>293050.59</v>
      </c>
      <c r="G130" s="15">
        <v>0.0</v>
      </c>
      <c r="H130" s="26">
        <v>523033.5794917055</v>
      </c>
      <c r="I130" s="26">
        <v>0.0</v>
      </c>
      <c r="J130" s="26">
        <v>84107.02333930194</v>
      </c>
      <c r="K130" s="26">
        <v>23502.14</v>
      </c>
      <c r="L130" s="26">
        <v>690467.14</v>
      </c>
      <c r="M130" s="15">
        <f t="shared" si="18"/>
        <v>2159048.038</v>
      </c>
      <c r="N130" s="44">
        <f t="shared" si="19"/>
        <v>0.06135616311</v>
      </c>
    </row>
    <row r="131" ht="14.25" customHeight="1">
      <c r="A131" s="26" t="s">
        <v>35</v>
      </c>
      <c r="B131" s="15">
        <v>152.6678741068127</v>
      </c>
      <c r="C131" s="15">
        <v>148075.26928556486</v>
      </c>
      <c r="D131" s="26">
        <v>1229.62</v>
      </c>
      <c r="E131" s="15">
        <v>398601.37038792187</v>
      </c>
      <c r="F131" s="15">
        <v>340984.15</v>
      </c>
      <c r="G131" s="15">
        <v>94092.96166031848</v>
      </c>
      <c r="H131" s="26">
        <v>523944.54692894995</v>
      </c>
      <c r="I131" s="26">
        <v>94396.17923076924</v>
      </c>
      <c r="J131" s="26">
        <v>84107.02333930194</v>
      </c>
      <c r="K131" s="26">
        <v>23502.15</v>
      </c>
      <c r="L131" s="26">
        <v>702889.15</v>
      </c>
      <c r="M131" s="15">
        <f t="shared" si="18"/>
        <v>2411975.089</v>
      </c>
      <c r="N131" s="44">
        <f t="shared" si="19"/>
        <v>0.06854388338</v>
      </c>
    </row>
    <row r="132" ht="14.25" customHeight="1">
      <c r="B132" s="15">
        <f t="shared" ref="B132:N132" si="20">SUM(B117:B131)</f>
        <v>1984.682363</v>
      </c>
      <c r="C132" s="15">
        <f t="shared" si="20"/>
        <v>2197784.394</v>
      </c>
      <c r="D132" s="15">
        <f t="shared" si="20"/>
        <v>15985.06</v>
      </c>
      <c r="E132" s="15">
        <f t="shared" si="20"/>
        <v>5785958.503</v>
      </c>
      <c r="F132" s="15">
        <f t="shared" si="20"/>
        <v>4985812.62</v>
      </c>
      <c r="G132" s="15">
        <f t="shared" si="20"/>
        <v>1223208.502</v>
      </c>
      <c r="H132" s="15">
        <f t="shared" si="20"/>
        <v>7849959.383</v>
      </c>
      <c r="I132" s="15">
        <f t="shared" si="20"/>
        <v>1227150.33</v>
      </c>
      <c r="J132" s="15">
        <f t="shared" si="20"/>
        <v>1254030.191</v>
      </c>
      <c r="K132" s="15">
        <f t="shared" si="20"/>
        <v>352531.2</v>
      </c>
      <c r="L132" s="15">
        <f t="shared" si="20"/>
        <v>10294367.2</v>
      </c>
      <c r="M132" s="15">
        <f t="shared" si="20"/>
        <v>35188772.07</v>
      </c>
      <c r="N132" s="44">
        <f t="shared" si="20"/>
        <v>1</v>
      </c>
    </row>
    <row r="133" ht="14.25" customHeight="1"/>
    <row r="134" ht="14.25" customHeight="1"/>
    <row r="135" ht="14.25" customHeight="1">
      <c r="B135" s="26" t="s">
        <v>264</v>
      </c>
      <c r="C135" s="26" t="s">
        <v>265</v>
      </c>
      <c r="D135" s="26" t="s">
        <v>266</v>
      </c>
      <c r="E135" s="26" t="s">
        <v>267</v>
      </c>
      <c r="F135" s="26" t="s">
        <v>268</v>
      </c>
      <c r="G135" s="61" t="s">
        <v>269</v>
      </c>
      <c r="H135" s="61" t="s">
        <v>270</v>
      </c>
      <c r="I135" s="61" t="s">
        <v>271</v>
      </c>
      <c r="J135" s="61" t="s">
        <v>272</v>
      </c>
    </row>
    <row r="136" ht="14.25" customHeight="1">
      <c r="A136" s="26" t="s">
        <v>5</v>
      </c>
      <c r="B136" s="26">
        <v>164599.01990996802</v>
      </c>
      <c r="C136" s="15"/>
      <c r="D136" s="26">
        <v>0.0</v>
      </c>
      <c r="E136" s="15">
        <v>487175.5976350313</v>
      </c>
      <c r="F136" s="15">
        <v>433985.01</v>
      </c>
      <c r="G136" s="15">
        <v>185743.44476604415</v>
      </c>
      <c r="H136" s="26">
        <v>294642.3122466667</v>
      </c>
      <c r="I136" s="26">
        <v>25223.01</v>
      </c>
      <c r="J136" s="15">
        <v>777647.01</v>
      </c>
      <c r="K136" s="15">
        <f t="shared" ref="K136:K150" si="21">SUM(B136:J136)</f>
        <v>2369015.405</v>
      </c>
      <c r="L136" s="44">
        <f t="shared" ref="L136:L151" si="22">K136/SUM(K$136:K$150)</f>
        <v>0.06042396998</v>
      </c>
    </row>
    <row r="137" ht="14.25" customHeight="1">
      <c r="A137" s="26" t="s">
        <v>18</v>
      </c>
      <c r="B137" s="15">
        <v>169581.0103095388</v>
      </c>
      <c r="C137" s="15"/>
      <c r="D137" s="26">
        <v>7099.967692307692</v>
      </c>
      <c r="E137" s="15">
        <v>578905.8951890228</v>
      </c>
      <c r="F137" s="15">
        <v>434210.02</v>
      </c>
      <c r="G137" s="15">
        <v>188817.01512332947</v>
      </c>
      <c r="H137" s="26">
        <v>294642.3122466667</v>
      </c>
      <c r="I137" s="26">
        <v>25223.02</v>
      </c>
      <c r="J137" s="26">
        <v>928989.02</v>
      </c>
      <c r="K137" s="15">
        <f t="shared" si="21"/>
        <v>2627468.261</v>
      </c>
      <c r="L137" s="44">
        <f t="shared" si="22"/>
        <v>0.06701605359</v>
      </c>
    </row>
    <row r="138" ht="14.25" customHeight="1">
      <c r="A138" s="26" t="s">
        <v>20</v>
      </c>
      <c r="B138" s="15">
        <v>169040.25427601393</v>
      </c>
      <c r="C138" s="15"/>
      <c r="D138" s="26">
        <v>7099.967692307692</v>
      </c>
      <c r="E138" s="15">
        <v>578572.1121738978</v>
      </c>
      <c r="F138" s="15">
        <v>434209.76</v>
      </c>
      <c r="G138" s="15">
        <v>188677.3602978696</v>
      </c>
      <c r="H138" s="26">
        <v>294642.3122466667</v>
      </c>
      <c r="I138" s="26">
        <v>25223.03</v>
      </c>
      <c r="J138" s="26">
        <v>935479.03</v>
      </c>
      <c r="K138" s="15">
        <f t="shared" si="21"/>
        <v>2632943.827</v>
      </c>
      <c r="L138" s="44">
        <f t="shared" si="22"/>
        <v>0.06715571306</v>
      </c>
    </row>
    <row r="139" ht="14.25" customHeight="1">
      <c r="A139" s="26" t="s">
        <v>23</v>
      </c>
      <c r="B139" s="15">
        <v>169040.26084115473</v>
      </c>
      <c r="C139" s="15"/>
      <c r="D139" s="26">
        <v>7099.967692307692</v>
      </c>
      <c r="E139" s="15">
        <v>578572.1162262473</v>
      </c>
      <c r="F139" s="15">
        <v>434209.38999999996</v>
      </c>
      <c r="G139" s="15">
        <v>188677.3619933728</v>
      </c>
      <c r="H139" s="26">
        <v>294642.3122466667</v>
      </c>
      <c r="I139" s="26">
        <v>25223.04</v>
      </c>
      <c r="J139" s="26">
        <v>935479.04</v>
      </c>
      <c r="K139" s="15">
        <f t="shared" si="21"/>
        <v>2632943.489</v>
      </c>
      <c r="L139" s="44">
        <f t="shared" si="22"/>
        <v>0.06715570445</v>
      </c>
    </row>
    <row r="140" ht="14.25" customHeight="1">
      <c r="A140" s="26" t="s">
        <v>24</v>
      </c>
      <c r="B140" s="15">
        <v>169040.2533479904</v>
      </c>
      <c r="C140" s="15"/>
      <c r="D140" s="26">
        <v>7099.967692307692</v>
      </c>
      <c r="E140" s="15">
        <v>578572.111601073</v>
      </c>
      <c r="F140" s="15">
        <v>434209.54</v>
      </c>
      <c r="G140" s="15">
        <v>188677.36005819964</v>
      </c>
      <c r="H140" s="26">
        <v>294642.3122466667</v>
      </c>
      <c r="I140" s="26">
        <v>25223.05</v>
      </c>
      <c r="J140" s="26">
        <v>935479.05</v>
      </c>
      <c r="K140" s="15">
        <f t="shared" si="21"/>
        <v>2632943.645</v>
      </c>
      <c r="L140" s="44">
        <f t="shared" si="22"/>
        <v>0.06715570843</v>
      </c>
    </row>
    <row r="141" ht="14.25" customHeight="1">
      <c r="A141" s="26" t="s">
        <v>25</v>
      </c>
      <c r="B141" s="15">
        <v>169040.25288395857</v>
      </c>
      <c r="C141" s="15"/>
      <c r="D141" s="26">
        <v>7099.967692307692</v>
      </c>
      <c r="E141" s="15">
        <v>578572.1113146483</v>
      </c>
      <c r="F141" s="15">
        <v>434210.06</v>
      </c>
      <c r="G141" s="15">
        <v>188677.35993835953</v>
      </c>
      <c r="H141" s="26">
        <v>294642.3122466667</v>
      </c>
      <c r="I141" s="26">
        <v>25223.06</v>
      </c>
      <c r="J141" s="26">
        <v>935479.06</v>
      </c>
      <c r="K141" s="15">
        <f t="shared" si="21"/>
        <v>2632944.184</v>
      </c>
      <c r="L141" s="44">
        <f t="shared" si="22"/>
        <v>0.06715572218</v>
      </c>
    </row>
    <row r="142" ht="14.25" customHeight="1">
      <c r="A142" s="26" t="s">
        <v>26</v>
      </c>
      <c r="B142" s="15">
        <v>169040.25241996656</v>
      </c>
      <c r="C142" s="15"/>
      <c r="D142" s="26">
        <v>7099.967692307692</v>
      </c>
      <c r="E142" s="15">
        <v>578572.111028248</v>
      </c>
      <c r="F142" s="15">
        <v>434210.07</v>
      </c>
      <c r="G142" s="15">
        <v>188677.35981852963</v>
      </c>
      <c r="H142" s="26">
        <v>294642.3122466667</v>
      </c>
      <c r="I142" s="26">
        <v>25223.07</v>
      </c>
      <c r="J142" s="26">
        <v>935479.07</v>
      </c>
      <c r="K142" s="15">
        <f t="shared" si="21"/>
        <v>2632944.213</v>
      </c>
      <c r="L142" s="44">
        <f t="shared" si="22"/>
        <v>0.06715572292</v>
      </c>
    </row>
    <row r="143" ht="14.25" customHeight="1">
      <c r="A143" s="26" t="s">
        <v>27</v>
      </c>
      <c r="B143" s="15">
        <v>169040.25195593917</v>
      </c>
      <c r="C143" s="15"/>
      <c r="D143" s="26">
        <v>7099.967692307692</v>
      </c>
      <c r="E143" s="15">
        <v>578572.1107418259</v>
      </c>
      <c r="F143" s="15">
        <v>434210.08</v>
      </c>
      <c r="G143" s="15">
        <v>188677.35969869065</v>
      </c>
      <c r="H143" s="26">
        <v>294642.3122466667</v>
      </c>
      <c r="I143" s="26">
        <v>25223.08</v>
      </c>
      <c r="J143" s="26">
        <v>935479.08</v>
      </c>
      <c r="K143" s="15">
        <f t="shared" si="21"/>
        <v>2632944.242</v>
      </c>
      <c r="L143" s="44">
        <f t="shared" si="22"/>
        <v>0.06715572366</v>
      </c>
    </row>
    <row r="144" ht="14.25" customHeight="1">
      <c r="A144" s="26" t="s">
        <v>28</v>
      </c>
      <c r="B144" s="15">
        <v>169040.24496168474</v>
      </c>
      <c r="C144" s="15"/>
      <c r="D144" s="26">
        <v>7099.967692307692</v>
      </c>
      <c r="E144" s="15">
        <v>578572.1064246048</v>
      </c>
      <c r="F144" s="15">
        <v>434209.86000000004</v>
      </c>
      <c r="G144" s="15">
        <v>188677.3578923652</v>
      </c>
      <c r="H144" s="26">
        <v>294642.3122466667</v>
      </c>
      <c r="I144" s="26">
        <v>25223.09</v>
      </c>
      <c r="J144" s="26">
        <v>935479.09</v>
      </c>
      <c r="K144" s="15">
        <f t="shared" si="21"/>
        <v>2632944.029</v>
      </c>
      <c r="L144" s="44">
        <f t="shared" si="22"/>
        <v>0.06715571823</v>
      </c>
    </row>
    <row r="145" ht="14.25" customHeight="1">
      <c r="A145" s="26" t="s">
        <v>29</v>
      </c>
      <c r="B145" s="15">
        <v>169040.2510604026</v>
      </c>
      <c r="C145" s="15"/>
      <c r="D145" s="26">
        <v>7099.967692307692</v>
      </c>
      <c r="E145" s="15">
        <v>578572.1101890536</v>
      </c>
      <c r="F145" s="15">
        <v>434210.13</v>
      </c>
      <c r="G145" s="15">
        <v>188677.35946741072</v>
      </c>
      <c r="H145" s="26">
        <v>294642.3122466667</v>
      </c>
      <c r="I145" s="26">
        <v>25223.1</v>
      </c>
      <c r="J145" s="26">
        <v>935479.1</v>
      </c>
      <c r="K145" s="15">
        <f t="shared" si="21"/>
        <v>2632944.331</v>
      </c>
      <c r="L145" s="44">
        <f t="shared" si="22"/>
        <v>0.06715572592</v>
      </c>
    </row>
    <row r="146" ht="14.25" customHeight="1">
      <c r="A146" s="26" t="s">
        <v>30</v>
      </c>
      <c r="B146" s="15">
        <v>169040.25056390854</v>
      </c>
      <c r="C146" s="15"/>
      <c r="D146" s="26">
        <v>7099.967692307692</v>
      </c>
      <c r="E146" s="15">
        <v>578572.1098825914</v>
      </c>
      <c r="F146" s="15">
        <v>434210.11</v>
      </c>
      <c r="G146" s="15">
        <v>188677.35933918692</v>
      </c>
      <c r="H146" s="26">
        <v>294642.3122466667</v>
      </c>
      <c r="I146" s="26">
        <v>25223.11</v>
      </c>
      <c r="J146" s="26">
        <v>935479.11</v>
      </c>
      <c r="K146" s="15">
        <f t="shared" si="21"/>
        <v>2632944.33</v>
      </c>
      <c r="L146" s="44">
        <f t="shared" si="22"/>
        <v>0.06715572589</v>
      </c>
    </row>
    <row r="147" ht="14.25" customHeight="1">
      <c r="A147" s="26" t="s">
        <v>31</v>
      </c>
      <c r="B147" s="15">
        <v>169040.2500999217</v>
      </c>
      <c r="C147" s="15"/>
      <c r="D147" s="26">
        <v>7099.967692307692</v>
      </c>
      <c r="E147" s="15">
        <v>578572.1095961945</v>
      </c>
      <c r="F147" s="15">
        <v>434210.12</v>
      </c>
      <c r="G147" s="15">
        <v>188677.35921935842</v>
      </c>
      <c r="H147" s="26">
        <v>294642.3122466667</v>
      </c>
      <c r="I147" s="26">
        <v>25223.12</v>
      </c>
      <c r="J147" s="26">
        <v>935479.12</v>
      </c>
      <c r="K147" s="15">
        <f t="shared" si="21"/>
        <v>2632944.359</v>
      </c>
      <c r="L147" s="44">
        <f t="shared" si="22"/>
        <v>0.06715572664</v>
      </c>
    </row>
    <row r="148" ht="14.25" customHeight="1">
      <c r="A148" s="26" t="s">
        <v>32</v>
      </c>
      <c r="B148" s="15">
        <v>169040.2496684002</v>
      </c>
      <c r="C148" s="15"/>
      <c r="D148" s="26">
        <v>7099.967692307692</v>
      </c>
      <c r="E148" s="15">
        <v>578572.1093298367</v>
      </c>
      <c r="F148" s="15">
        <v>434210.16000000003</v>
      </c>
      <c r="G148" s="15">
        <v>188677.35910791432</v>
      </c>
      <c r="H148" s="26">
        <v>294642.3122466667</v>
      </c>
      <c r="I148" s="26">
        <v>25223.13</v>
      </c>
      <c r="J148" s="26">
        <v>935479.13</v>
      </c>
      <c r="K148" s="15">
        <f t="shared" si="21"/>
        <v>2632944.418</v>
      </c>
      <c r="L148" s="44">
        <f t="shared" si="22"/>
        <v>0.06715572815</v>
      </c>
    </row>
    <row r="149" ht="14.25" customHeight="1">
      <c r="A149" s="26" t="s">
        <v>34</v>
      </c>
      <c r="B149" s="15">
        <v>169633.26629325736</v>
      </c>
      <c r="C149" s="15"/>
      <c r="D149" s="26">
        <v>0.0</v>
      </c>
      <c r="E149" s="15">
        <v>573237.2088307564</v>
      </c>
      <c r="F149" s="15">
        <v>434210.18</v>
      </c>
      <c r="G149" s="15">
        <v>189692.9150195145</v>
      </c>
      <c r="H149" s="26">
        <v>294642.3122466667</v>
      </c>
      <c r="I149" s="26">
        <v>25223.14</v>
      </c>
      <c r="J149" s="26">
        <v>928098.14</v>
      </c>
      <c r="K149" s="15">
        <f t="shared" si="21"/>
        <v>2614737.162</v>
      </c>
      <c r="L149" s="44">
        <f t="shared" si="22"/>
        <v>0.06669133493</v>
      </c>
    </row>
    <row r="150" ht="14.25" customHeight="1">
      <c r="A150" s="26" t="s">
        <v>35</v>
      </c>
      <c r="B150" s="15">
        <v>169040.2487078921</v>
      </c>
      <c r="C150" s="15"/>
      <c r="D150" s="26">
        <v>7099.967692307692</v>
      </c>
      <c r="E150" s="15">
        <v>578572.1087369606</v>
      </c>
      <c r="F150" s="15">
        <v>434209.88</v>
      </c>
      <c r="G150" s="15">
        <v>188677.35885985498</v>
      </c>
      <c r="H150" s="26">
        <v>294642.3122466667</v>
      </c>
      <c r="I150" s="26">
        <v>25223.15</v>
      </c>
      <c r="J150" s="26">
        <v>935479.15</v>
      </c>
      <c r="K150" s="15">
        <f t="shared" si="21"/>
        <v>2632944.176</v>
      </c>
      <c r="L150" s="44">
        <f t="shared" si="22"/>
        <v>0.06715572198</v>
      </c>
    </row>
    <row r="151" ht="14.25" customHeight="1">
      <c r="B151" s="15">
        <f t="shared" ref="B151:K151" si="23">SUM(B136:B150)</f>
        <v>2532296.317</v>
      </c>
      <c r="C151" s="15">
        <f t="shared" si="23"/>
        <v>0</v>
      </c>
      <c r="D151" s="15">
        <f t="shared" si="23"/>
        <v>92299.58</v>
      </c>
      <c r="E151" s="15">
        <f t="shared" si="23"/>
        <v>8582184.029</v>
      </c>
      <c r="F151" s="15">
        <f t="shared" si="23"/>
        <v>6512924.37</v>
      </c>
      <c r="G151" s="15">
        <f t="shared" si="23"/>
        <v>2828381.691</v>
      </c>
      <c r="H151" s="15">
        <f t="shared" si="23"/>
        <v>4419634.684</v>
      </c>
      <c r="I151" s="15">
        <f t="shared" si="23"/>
        <v>378346.2</v>
      </c>
      <c r="J151" s="15">
        <f t="shared" si="23"/>
        <v>13860483.2</v>
      </c>
      <c r="K151" s="15">
        <f t="shared" si="23"/>
        <v>39206550.07</v>
      </c>
      <c r="L151" s="15">
        <f t="shared" si="22"/>
        <v>1</v>
      </c>
      <c r="M151" s="15"/>
      <c r="N151" s="44"/>
    </row>
    <row r="152" ht="14.25" customHeight="1"/>
    <row r="153" ht="14.25" customHeight="1"/>
    <row r="154" ht="14.25" customHeight="1">
      <c r="B154" s="26" t="s">
        <v>280</v>
      </c>
      <c r="C154" s="26" t="s">
        <v>282</v>
      </c>
      <c r="D154" s="26" t="s">
        <v>283</v>
      </c>
      <c r="E154" s="26" t="s">
        <v>285</v>
      </c>
      <c r="F154" s="26" t="s">
        <v>133</v>
      </c>
      <c r="G154" s="61" t="s">
        <v>286</v>
      </c>
      <c r="H154" s="61" t="s">
        <v>287</v>
      </c>
      <c r="I154" s="61" t="s">
        <v>288</v>
      </c>
      <c r="J154" s="61" t="s">
        <v>289</v>
      </c>
    </row>
    <row r="155" ht="14.25" customHeight="1">
      <c r="A155" s="26" t="s">
        <v>5</v>
      </c>
      <c r="B155" s="15">
        <v>41183.82823272269</v>
      </c>
      <c r="C155" s="15">
        <v>857914.01</v>
      </c>
      <c r="D155" s="26">
        <v>921727.5181981043</v>
      </c>
      <c r="E155" s="15">
        <v>170678.06195999996</v>
      </c>
      <c r="F155" s="15">
        <v>30292.01</v>
      </c>
      <c r="G155" s="15">
        <v>220612.10990600733</v>
      </c>
      <c r="H155" s="26">
        <v>635043.01</v>
      </c>
      <c r="I155" s="26">
        <v>7557.504000000001</v>
      </c>
      <c r="J155" s="15">
        <v>0.0</v>
      </c>
      <c r="K155" s="15">
        <f t="shared" ref="K155:K169" si="24">SUM(B155:J155)</f>
        <v>2885008.052</v>
      </c>
      <c r="L155" s="44">
        <f t="shared" ref="L155:L170" si="25">K155/SUM(K$155:K$169)</f>
        <v>0.06519167658</v>
      </c>
    </row>
    <row r="156" ht="14.25" customHeight="1">
      <c r="A156" s="26" t="s">
        <v>18</v>
      </c>
      <c r="B156" s="15">
        <v>46508.80456500207</v>
      </c>
      <c r="C156" s="15">
        <v>866495.02</v>
      </c>
      <c r="D156" s="26">
        <v>917651.7772216221</v>
      </c>
      <c r="E156" s="15">
        <v>170678.06195999996</v>
      </c>
      <c r="F156" s="15">
        <v>30292.02</v>
      </c>
      <c r="G156" s="15">
        <v>221622.98962984496</v>
      </c>
      <c r="H156" s="26">
        <v>632237.02</v>
      </c>
      <c r="I156" s="26">
        <v>7557.503999999999</v>
      </c>
      <c r="J156" s="26">
        <v>67298.35384615384</v>
      </c>
      <c r="K156" s="15">
        <f t="shared" si="24"/>
        <v>2960341.551</v>
      </c>
      <c r="L156" s="44">
        <f t="shared" si="25"/>
        <v>0.06689396545</v>
      </c>
    </row>
    <row r="157" ht="14.25" customHeight="1">
      <c r="A157" s="26" t="s">
        <v>20</v>
      </c>
      <c r="B157" s="15">
        <v>46508.80456500207</v>
      </c>
      <c r="C157" s="15">
        <v>866495.12</v>
      </c>
      <c r="D157" s="26">
        <v>917565.4288268941</v>
      </c>
      <c r="E157" s="15">
        <v>170678.06195999996</v>
      </c>
      <c r="F157" s="15">
        <v>30292.03</v>
      </c>
      <c r="G157" s="15">
        <v>221622.98962984496</v>
      </c>
      <c r="H157" s="26">
        <v>632177.03</v>
      </c>
      <c r="I157" s="26">
        <v>7557.504</v>
      </c>
      <c r="J157" s="26">
        <v>67298.35384615384</v>
      </c>
      <c r="K157" s="15">
        <f t="shared" si="24"/>
        <v>2960195.323</v>
      </c>
      <c r="L157" s="44">
        <f t="shared" si="25"/>
        <v>0.06689066117</v>
      </c>
    </row>
    <row r="158" ht="14.25" customHeight="1">
      <c r="A158" s="26" t="s">
        <v>23</v>
      </c>
      <c r="B158" s="15">
        <v>46508.804565002065</v>
      </c>
      <c r="C158" s="15">
        <v>866494.55</v>
      </c>
      <c r="D158" s="26">
        <v>917565.4341521391</v>
      </c>
      <c r="E158" s="15">
        <v>170678.06195999996</v>
      </c>
      <c r="F158" s="15">
        <v>30292.04</v>
      </c>
      <c r="G158" s="15">
        <v>221622.98962984496</v>
      </c>
      <c r="H158" s="26">
        <v>632177.04</v>
      </c>
      <c r="I158" s="26">
        <v>7557.504</v>
      </c>
      <c r="J158" s="26">
        <v>67298.35384615384</v>
      </c>
      <c r="K158" s="15">
        <f t="shared" si="24"/>
        <v>2960194.778</v>
      </c>
      <c r="L158" s="44">
        <f t="shared" si="25"/>
        <v>0.06689064886</v>
      </c>
    </row>
    <row r="159" ht="14.25" customHeight="1">
      <c r="A159" s="26" t="s">
        <v>24</v>
      </c>
      <c r="B159" s="15">
        <v>46508.804565002065</v>
      </c>
      <c r="C159" s="15">
        <v>866494.74</v>
      </c>
      <c r="D159" s="26">
        <v>917565.4316928994</v>
      </c>
      <c r="E159" s="15">
        <v>170678.06195999996</v>
      </c>
      <c r="F159" s="15">
        <v>30292.05</v>
      </c>
      <c r="G159" s="15">
        <v>221622.98962984496</v>
      </c>
      <c r="H159" s="26">
        <v>632177.05</v>
      </c>
      <c r="I159" s="26">
        <v>7557.504</v>
      </c>
      <c r="J159" s="26">
        <v>67298.35384615384</v>
      </c>
      <c r="K159" s="15">
        <f t="shared" si="24"/>
        <v>2960194.986</v>
      </c>
      <c r="L159" s="44">
        <f t="shared" si="25"/>
        <v>0.06689065355</v>
      </c>
    </row>
    <row r="160" ht="14.25" customHeight="1">
      <c r="A160" s="26" t="s">
        <v>25</v>
      </c>
      <c r="B160" s="15">
        <v>46508.80456500207</v>
      </c>
      <c r="C160" s="15">
        <v>866495.06</v>
      </c>
      <c r="D160" s="26">
        <v>917565.4231909503</v>
      </c>
      <c r="E160" s="15">
        <v>170678.06195999996</v>
      </c>
      <c r="F160" s="15">
        <v>30292.06</v>
      </c>
      <c r="G160" s="15">
        <v>221622.98962984496</v>
      </c>
      <c r="H160" s="26">
        <v>632177.06</v>
      </c>
      <c r="I160" s="26">
        <v>7557.504</v>
      </c>
      <c r="J160" s="26">
        <v>67298.35384615384</v>
      </c>
      <c r="K160" s="15">
        <f t="shared" si="24"/>
        <v>2960195.317</v>
      </c>
      <c r="L160" s="44">
        <f t="shared" si="25"/>
        <v>0.06689066104</v>
      </c>
    </row>
    <row r="161" ht="14.25" customHeight="1">
      <c r="A161" s="26" t="s">
        <v>26</v>
      </c>
      <c r="B161" s="15">
        <v>46508.80456500207</v>
      </c>
      <c r="C161" s="15">
        <v>866495.07</v>
      </c>
      <c r="D161" s="26">
        <v>917565.4227315807</v>
      </c>
      <c r="E161" s="15">
        <v>170678.06195999996</v>
      </c>
      <c r="F161" s="15">
        <v>30292.07</v>
      </c>
      <c r="G161" s="15">
        <v>221622.98962984496</v>
      </c>
      <c r="H161" s="26">
        <v>632177.07</v>
      </c>
      <c r="I161" s="26">
        <v>7557.504</v>
      </c>
      <c r="J161" s="26">
        <v>67298.35384615384</v>
      </c>
      <c r="K161" s="15">
        <f t="shared" si="24"/>
        <v>2960195.347</v>
      </c>
      <c r="L161" s="44">
        <f t="shared" si="25"/>
        <v>0.06689066171</v>
      </c>
    </row>
    <row r="162" ht="14.25" customHeight="1">
      <c r="A162" s="26" t="s">
        <v>27</v>
      </c>
      <c r="B162" s="15">
        <v>46508.804565002065</v>
      </c>
      <c r="C162" s="15">
        <v>866495.08</v>
      </c>
      <c r="D162" s="26">
        <v>917565.4222722119</v>
      </c>
      <c r="E162" s="15">
        <v>170678.06195999996</v>
      </c>
      <c r="F162" s="15">
        <v>30292.08</v>
      </c>
      <c r="G162" s="15">
        <v>221622.98962984496</v>
      </c>
      <c r="H162" s="26">
        <v>632177.08</v>
      </c>
      <c r="I162" s="26">
        <v>7557.504</v>
      </c>
      <c r="J162" s="26">
        <v>67298.35384615384</v>
      </c>
      <c r="K162" s="15">
        <f t="shared" si="24"/>
        <v>2960195.376</v>
      </c>
      <c r="L162" s="44">
        <f t="shared" si="25"/>
        <v>0.06689066238</v>
      </c>
    </row>
    <row r="163" ht="14.25" customHeight="1">
      <c r="A163" s="26" t="s">
        <v>28</v>
      </c>
      <c r="B163" s="15">
        <v>46508.80456500207</v>
      </c>
      <c r="C163" s="15">
        <v>866494.6799999999</v>
      </c>
      <c r="D163" s="26">
        <v>917565.4256330298</v>
      </c>
      <c r="E163" s="15">
        <v>170678.06195999996</v>
      </c>
      <c r="F163" s="15">
        <v>30292.09</v>
      </c>
      <c r="G163" s="15">
        <v>221622.98962984496</v>
      </c>
      <c r="H163" s="26">
        <v>632177.09</v>
      </c>
      <c r="I163" s="26">
        <v>7557.504</v>
      </c>
      <c r="J163" s="26">
        <v>67298.35384615384</v>
      </c>
      <c r="K163" s="15">
        <f t="shared" si="24"/>
        <v>2960195</v>
      </c>
      <c r="L163" s="44">
        <f t="shared" si="25"/>
        <v>0.06689065387</v>
      </c>
    </row>
    <row r="164" ht="14.25" customHeight="1">
      <c r="A164" s="26" t="s">
        <v>29</v>
      </c>
      <c r="B164" s="15">
        <v>46508.804565002065</v>
      </c>
      <c r="C164" s="15">
        <v>866495.52</v>
      </c>
      <c r="D164" s="26">
        <v>917565.4208794197</v>
      </c>
      <c r="E164" s="15">
        <v>170678.06195999996</v>
      </c>
      <c r="F164" s="15">
        <v>30292.1</v>
      </c>
      <c r="G164" s="15">
        <v>221622.98962984496</v>
      </c>
      <c r="H164" s="26">
        <v>632177.1</v>
      </c>
      <c r="I164" s="26">
        <v>7557.504</v>
      </c>
      <c r="J164" s="26">
        <v>67298.35384615384</v>
      </c>
      <c r="K164" s="15">
        <f t="shared" si="24"/>
        <v>2960195.855</v>
      </c>
      <c r="L164" s="44">
        <f t="shared" si="25"/>
        <v>0.06689067319</v>
      </c>
    </row>
    <row r="165" ht="14.25" customHeight="1">
      <c r="A165" s="26" t="s">
        <v>30</v>
      </c>
      <c r="B165" s="15">
        <v>46508.80456500207</v>
      </c>
      <c r="C165" s="15">
        <v>866495.11</v>
      </c>
      <c r="D165" s="26">
        <v>917565.4208941042</v>
      </c>
      <c r="E165" s="15">
        <v>170678.06195999996</v>
      </c>
      <c r="F165" s="15">
        <v>30292.11</v>
      </c>
      <c r="G165" s="15">
        <v>221622.98962984496</v>
      </c>
      <c r="H165" s="26">
        <v>632177.11</v>
      </c>
      <c r="I165" s="26">
        <v>7557.504</v>
      </c>
      <c r="J165" s="26">
        <v>67298.35384615384</v>
      </c>
      <c r="K165" s="15">
        <f t="shared" si="24"/>
        <v>2960195.465</v>
      </c>
      <c r="L165" s="44">
        <f t="shared" si="25"/>
        <v>0.06689066438</v>
      </c>
    </row>
    <row r="166" ht="14.25" customHeight="1">
      <c r="A166" s="26" t="s">
        <v>31</v>
      </c>
      <c r="B166" s="15">
        <v>46508.80456500207</v>
      </c>
      <c r="C166" s="15">
        <v>866495.12</v>
      </c>
      <c r="D166" s="26">
        <v>917565.4204347342</v>
      </c>
      <c r="E166" s="15">
        <v>170678.06195999996</v>
      </c>
      <c r="F166" s="15">
        <v>30292.12</v>
      </c>
      <c r="G166" s="15">
        <v>221622.98962984493</v>
      </c>
      <c r="H166" s="26">
        <v>632177.12</v>
      </c>
      <c r="I166" s="26">
        <v>7557.504</v>
      </c>
      <c r="J166" s="26">
        <v>67298.35384615384</v>
      </c>
      <c r="K166" s="15">
        <f t="shared" si="24"/>
        <v>2960195.494</v>
      </c>
      <c r="L166" s="44">
        <f t="shared" si="25"/>
        <v>0.06689066505</v>
      </c>
    </row>
    <row r="167" ht="14.25" customHeight="1">
      <c r="A167" s="26" t="s">
        <v>32</v>
      </c>
      <c r="B167" s="15">
        <v>46508.804565002065</v>
      </c>
      <c r="C167" s="15">
        <v>866495.55</v>
      </c>
      <c r="D167" s="26">
        <v>917565.4195013113</v>
      </c>
      <c r="E167" s="15">
        <v>170678.06195999996</v>
      </c>
      <c r="F167" s="15">
        <v>30292.13</v>
      </c>
      <c r="G167" s="15">
        <v>221622.98962984493</v>
      </c>
      <c r="H167" s="26">
        <v>632177.13</v>
      </c>
      <c r="I167" s="26">
        <v>7557.504</v>
      </c>
      <c r="J167" s="26">
        <v>67298.35384615384</v>
      </c>
      <c r="K167" s="15">
        <f t="shared" si="24"/>
        <v>2960195.944</v>
      </c>
      <c r="L167" s="44">
        <f t="shared" si="25"/>
        <v>0.0668906752</v>
      </c>
    </row>
    <row r="168" ht="14.25" customHeight="1">
      <c r="A168" s="26" t="s">
        <v>34</v>
      </c>
      <c r="B168" s="15">
        <v>43377.0813222508</v>
      </c>
      <c r="C168" s="15">
        <v>863800.23</v>
      </c>
      <c r="D168" s="26">
        <v>917852.5436565235</v>
      </c>
      <c r="E168" s="15">
        <v>170678.06195999996</v>
      </c>
      <c r="F168" s="15">
        <v>30292.14</v>
      </c>
      <c r="G168" s="15">
        <v>220612.10990600733</v>
      </c>
      <c r="H168" s="26">
        <v>632375.14</v>
      </c>
      <c r="I168" s="26">
        <v>7557.504</v>
      </c>
      <c r="J168" s="26">
        <v>0.0</v>
      </c>
      <c r="K168" s="15">
        <f t="shared" si="24"/>
        <v>2886544.811</v>
      </c>
      <c r="L168" s="44">
        <f t="shared" si="25"/>
        <v>0.06522640226</v>
      </c>
    </row>
    <row r="169" ht="14.25" customHeight="1">
      <c r="A169" s="26" t="s">
        <v>35</v>
      </c>
      <c r="B169" s="15">
        <v>46508.80456500207</v>
      </c>
      <c r="C169" s="15">
        <v>866495.51</v>
      </c>
      <c r="D169" s="26">
        <v>917565.4233144633</v>
      </c>
      <c r="E169" s="15">
        <v>170678.06195999996</v>
      </c>
      <c r="F169" s="15">
        <v>30292.15</v>
      </c>
      <c r="G169" s="15">
        <v>221622.98962984493</v>
      </c>
      <c r="H169" s="26">
        <v>632177.15</v>
      </c>
      <c r="I169" s="26">
        <v>7557.504</v>
      </c>
      <c r="J169" s="26">
        <v>67298.35384615384</v>
      </c>
      <c r="K169" s="15">
        <f t="shared" si="24"/>
        <v>2960195.947</v>
      </c>
      <c r="L169" s="44">
        <f t="shared" si="25"/>
        <v>0.06689067528</v>
      </c>
    </row>
    <row r="170" ht="14.25" customHeight="1">
      <c r="B170" s="15">
        <f t="shared" ref="B170:K170" si="26">SUM(B155:B169)</f>
        <v>689175.3689</v>
      </c>
      <c r="C170" s="15">
        <f t="shared" si="26"/>
        <v>12986150.37</v>
      </c>
      <c r="D170" s="15">
        <f t="shared" si="26"/>
        <v>13768016.93</v>
      </c>
      <c r="E170" s="15">
        <f t="shared" si="26"/>
        <v>2560170.929</v>
      </c>
      <c r="F170" s="15">
        <f t="shared" si="26"/>
        <v>454381.2</v>
      </c>
      <c r="G170" s="15">
        <f t="shared" si="26"/>
        <v>3322323.085</v>
      </c>
      <c r="H170" s="15">
        <f t="shared" si="26"/>
        <v>9485780.2</v>
      </c>
      <c r="I170" s="15">
        <f t="shared" si="26"/>
        <v>113362.56</v>
      </c>
      <c r="J170" s="15">
        <f t="shared" si="26"/>
        <v>874878.6</v>
      </c>
      <c r="K170" s="15">
        <f t="shared" si="26"/>
        <v>44254239.25</v>
      </c>
      <c r="L170" s="44">
        <f t="shared" si="25"/>
        <v>1</v>
      </c>
    </row>
    <row r="171" ht="14.25" customHeight="1"/>
    <row r="172" ht="14.25" customHeight="1"/>
    <row r="173" ht="14.25" customHeight="1">
      <c r="B173" s="26" t="s">
        <v>290</v>
      </c>
      <c r="C173" s="26" t="s">
        <v>291</v>
      </c>
      <c r="D173" s="26" t="s">
        <v>292</v>
      </c>
      <c r="E173" s="26" t="s">
        <v>293</v>
      </c>
      <c r="F173" s="26" t="s">
        <v>294</v>
      </c>
      <c r="G173" s="61" t="s">
        <v>295</v>
      </c>
      <c r="H173" s="61" t="s">
        <v>287</v>
      </c>
      <c r="I173" s="61" t="s">
        <v>296</v>
      </c>
    </row>
    <row r="174" ht="14.25" customHeight="1">
      <c r="A174" s="26" t="s">
        <v>5</v>
      </c>
      <c r="B174" s="15">
        <v>2112.424242692494</v>
      </c>
      <c r="C174" s="15">
        <v>604140.01</v>
      </c>
      <c r="D174" s="26">
        <v>331973.18879333336</v>
      </c>
      <c r="E174" s="15">
        <v>136012.02628874185</v>
      </c>
      <c r="F174" s="15">
        <v>0.0</v>
      </c>
      <c r="G174" s="15">
        <v>533407.6840733325</v>
      </c>
      <c r="H174" s="26">
        <v>27378.95</v>
      </c>
      <c r="I174" s="26">
        <v>334550.47127416567</v>
      </c>
      <c r="J174" s="15">
        <f t="shared" ref="J174:J188" si="27">SUM(B174:I174)</f>
        <v>1969574.755</v>
      </c>
      <c r="K174" s="44">
        <f t="shared" ref="K174:K189" si="28">J174/SUM(J$174:J$188)</f>
        <v>0.06294601772</v>
      </c>
    </row>
    <row r="175" ht="14.25" customHeight="1">
      <c r="A175" s="26" t="s">
        <v>18</v>
      </c>
      <c r="B175" s="15">
        <v>2184.7559531920997</v>
      </c>
      <c r="C175" s="15">
        <v>604140.02</v>
      </c>
      <c r="D175" s="26">
        <v>331973.18879333336</v>
      </c>
      <c r="E175" s="15">
        <v>136939.7468731231</v>
      </c>
      <c r="F175" s="15">
        <v>112129.7953846154</v>
      </c>
      <c r="G175" s="15">
        <v>533407.6840733325</v>
      </c>
      <c r="H175" s="26">
        <v>27378.95</v>
      </c>
      <c r="I175" s="26">
        <v>352065.51740300056</v>
      </c>
      <c r="J175" s="15">
        <f t="shared" si="27"/>
        <v>2100219.658</v>
      </c>
      <c r="K175" s="44">
        <f t="shared" si="28"/>
        <v>0.06712132328</v>
      </c>
    </row>
    <row r="176" ht="14.25" customHeight="1">
      <c r="A176" s="26" t="s">
        <v>20</v>
      </c>
      <c r="B176" s="15">
        <v>2184.615551510713</v>
      </c>
      <c r="C176" s="15">
        <v>607959.12</v>
      </c>
      <c r="D176" s="26">
        <v>331973.18879333336</v>
      </c>
      <c r="E176" s="15">
        <v>136940.63268954333</v>
      </c>
      <c r="F176" s="15">
        <v>112129.7953846154</v>
      </c>
      <c r="G176" s="15">
        <v>533407.6840733325</v>
      </c>
      <c r="H176" s="26">
        <v>27378.95</v>
      </c>
      <c r="I176" s="26">
        <v>352066.16103384213</v>
      </c>
      <c r="J176" s="15">
        <f t="shared" si="27"/>
        <v>2104040.148</v>
      </c>
      <c r="K176" s="44">
        <f t="shared" si="28"/>
        <v>0.06724342303</v>
      </c>
    </row>
    <row r="177" ht="14.25" customHeight="1">
      <c r="A177" s="26" t="s">
        <v>23</v>
      </c>
      <c r="B177" s="15">
        <v>2184.615028539425</v>
      </c>
      <c r="C177" s="15">
        <v>607958.3500000001</v>
      </c>
      <c r="D177" s="26">
        <v>331973.18879333336</v>
      </c>
      <c r="E177" s="15">
        <v>136940.6359890519</v>
      </c>
      <c r="F177" s="15">
        <v>112129.7953846154</v>
      </c>
      <c r="G177" s="15">
        <v>533407.6840733325</v>
      </c>
      <c r="H177" s="26">
        <v>27378.95</v>
      </c>
      <c r="I177" s="26">
        <v>352066.1634312525</v>
      </c>
      <c r="J177" s="15">
        <f t="shared" si="27"/>
        <v>2104039.383</v>
      </c>
      <c r="K177" s="44">
        <f t="shared" si="28"/>
        <v>0.06724339858</v>
      </c>
    </row>
    <row r="178" ht="14.25" customHeight="1">
      <c r="A178" s="26" t="s">
        <v>24</v>
      </c>
      <c r="B178" s="15">
        <v>2184.6152278103837</v>
      </c>
      <c r="C178" s="15">
        <v>607958.74</v>
      </c>
      <c r="D178" s="26">
        <v>331973.18879333336</v>
      </c>
      <c r="E178" s="15">
        <v>136940.6347318199</v>
      </c>
      <c r="F178" s="15">
        <v>112129.7953846154</v>
      </c>
      <c r="G178" s="15">
        <v>533407.6840733325</v>
      </c>
      <c r="H178" s="26">
        <v>27378.95</v>
      </c>
      <c r="I178" s="26">
        <v>352066.16251775256</v>
      </c>
      <c r="J178" s="15">
        <f t="shared" si="27"/>
        <v>2104039.771</v>
      </c>
      <c r="K178" s="44">
        <f t="shared" si="28"/>
        <v>0.06724341098</v>
      </c>
    </row>
    <row r="179" ht="14.25" customHeight="1">
      <c r="A179" s="26" t="s">
        <v>25</v>
      </c>
      <c r="B179" s="15">
        <v>2184.615546099347</v>
      </c>
      <c r="C179" s="15">
        <v>607959.06</v>
      </c>
      <c r="D179" s="26">
        <v>331973.18879333336</v>
      </c>
      <c r="E179" s="15">
        <v>136940.6327236845</v>
      </c>
      <c r="F179" s="15">
        <v>112129.7953846154</v>
      </c>
      <c r="G179" s="15">
        <v>533407.6840733325</v>
      </c>
      <c r="H179" s="26">
        <v>27378.95</v>
      </c>
      <c r="I179" s="26">
        <v>352066.161058649</v>
      </c>
      <c r="J179" s="15">
        <f t="shared" si="27"/>
        <v>2104040.088</v>
      </c>
      <c r="K179" s="44">
        <f t="shared" si="28"/>
        <v>0.06724342111</v>
      </c>
    </row>
    <row r="180" ht="14.25" customHeight="1">
      <c r="A180" s="26" t="s">
        <v>26</v>
      </c>
      <c r="B180" s="15">
        <v>2184.615574462874</v>
      </c>
      <c r="C180" s="15">
        <v>607959.07</v>
      </c>
      <c r="D180" s="26">
        <v>331973.18879333336</v>
      </c>
      <c r="E180" s="15">
        <v>136940.6325447345</v>
      </c>
      <c r="F180" s="15">
        <v>112129.7953846154</v>
      </c>
      <c r="G180" s="15">
        <v>533407.6840733325</v>
      </c>
      <c r="H180" s="26">
        <v>27378.95</v>
      </c>
      <c r="I180" s="26">
        <v>352066.1609286246</v>
      </c>
      <c r="J180" s="15">
        <f t="shared" si="27"/>
        <v>2104040.097</v>
      </c>
      <c r="K180" s="44">
        <f t="shared" si="28"/>
        <v>0.06724342142</v>
      </c>
    </row>
    <row r="181" ht="14.25" customHeight="1">
      <c r="A181" s="26" t="s">
        <v>27</v>
      </c>
      <c r="B181" s="15">
        <v>2184.615602826416</v>
      </c>
      <c r="C181" s="15">
        <v>607959.08</v>
      </c>
      <c r="D181" s="26">
        <v>331973.18879333336</v>
      </c>
      <c r="E181" s="15">
        <v>136940.63236578446</v>
      </c>
      <c r="F181" s="15">
        <v>112129.7953846154</v>
      </c>
      <c r="G181" s="15">
        <v>533407.6840733325</v>
      </c>
      <c r="H181" s="26">
        <v>27378.95</v>
      </c>
      <c r="I181" s="26">
        <v>352066.1607986002</v>
      </c>
      <c r="J181" s="15">
        <f t="shared" si="27"/>
        <v>2104040.107</v>
      </c>
      <c r="K181" s="44">
        <f t="shared" si="28"/>
        <v>0.06724342173</v>
      </c>
    </row>
    <row r="182" ht="14.25" customHeight="1">
      <c r="A182" s="26" t="s">
        <v>28</v>
      </c>
      <c r="B182" s="15">
        <v>2184.615241195046</v>
      </c>
      <c r="C182" s="15">
        <v>607958.6799999999</v>
      </c>
      <c r="D182" s="26">
        <v>331973.18879333336</v>
      </c>
      <c r="E182" s="15">
        <v>136940.63464737395</v>
      </c>
      <c r="F182" s="15">
        <v>112129.7953846154</v>
      </c>
      <c r="G182" s="15">
        <v>533407.6840733325</v>
      </c>
      <c r="H182" s="26">
        <v>27378.95</v>
      </c>
      <c r="I182" s="26">
        <v>352066.16245639446</v>
      </c>
      <c r="J182" s="15">
        <f t="shared" si="27"/>
        <v>2104039.711</v>
      </c>
      <c r="K182" s="44">
        <f t="shared" si="28"/>
        <v>0.06724340906</v>
      </c>
    </row>
    <row r="183" ht="14.25" customHeight="1">
      <c r="A183" s="26" t="s">
        <v>29</v>
      </c>
      <c r="B183" s="15">
        <v>2184.616062362722</v>
      </c>
      <c r="C183" s="15">
        <v>607959.32</v>
      </c>
      <c r="D183" s="26">
        <v>331973.18879333336</v>
      </c>
      <c r="E183" s="15">
        <v>136940.62946649716</v>
      </c>
      <c r="F183" s="15">
        <v>112129.7953846154</v>
      </c>
      <c r="G183" s="15">
        <v>533407.6840733325</v>
      </c>
      <c r="H183" s="26">
        <v>27378.95</v>
      </c>
      <c r="I183" s="26">
        <v>352066.1586919891</v>
      </c>
      <c r="J183" s="15">
        <f t="shared" si="27"/>
        <v>2104040.342</v>
      </c>
      <c r="K183" s="44">
        <f t="shared" si="28"/>
        <v>0.06724342926</v>
      </c>
    </row>
    <row r="184" ht="14.25" customHeight="1">
      <c r="A184" s="26" t="s">
        <v>30</v>
      </c>
      <c r="B184" s="15">
        <v>2184.6156879170157</v>
      </c>
      <c r="C184" s="15">
        <v>607959.11</v>
      </c>
      <c r="D184" s="26">
        <v>331973.18879333336</v>
      </c>
      <c r="E184" s="15">
        <v>136940.63182893436</v>
      </c>
      <c r="F184" s="15">
        <v>112129.7953846154</v>
      </c>
      <c r="G184" s="15">
        <v>533407.6840733325</v>
      </c>
      <c r="H184" s="26">
        <v>27378.95</v>
      </c>
      <c r="I184" s="26">
        <v>352066.16040852695</v>
      </c>
      <c r="J184" s="15">
        <f t="shared" si="27"/>
        <v>2104040.136</v>
      </c>
      <c r="K184" s="44">
        <f t="shared" si="28"/>
        <v>0.06724342266</v>
      </c>
    </row>
    <row r="185" ht="14.25" customHeight="1">
      <c r="A185" s="26" t="s">
        <v>31</v>
      </c>
      <c r="B185" s="15">
        <v>2184.6157162805575</v>
      </c>
      <c r="C185" s="15">
        <v>607959.12</v>
      </c>
      <c r="D185" s="26">
        <v>331973.18879333336</v>
      </c>
      <c r="E185" s="15">
        <v>136940.63164998434</v>
      </c>
      <c r="F185" s="15">
        <v>112129.7953846154</v>
      </c>
      <c r="G185" s="15">
        <v>533407.6840733325</v>
      </c>
      <c r="H185" s="26">
        <v>27378.95</v>
      </c>
      <c r="I185" s="26">
        <v>352066.1602785025</v>
      </c>
      <c r="J185" s="15">
        <f t="shared" si="27"/>
        <v>2104040.146</v>
      </c>
      <c r="K185" s="44">
        <f t="shared" si="28"/>
        <v>0.06724342297</v>
      </c>
    </row>
    <row r="186" ht="14.25" customHeight="1">
      <c r="A186" s="26" t="s">
        <v>32</v>
      </c>
      <c r="B186" s="15">
        <v>2184.616147453329</v>
      </c>
      <c r="C186" s="15">
        <v>607959.35</v>
      </c>
      <c r="D186" s="26">
        <v>331973.18879333336</v>
      </c>
      <c r="E186" s="15">
        <v>136940.6289296471</v>
      </c>
      <c r="F186" s="15">
        <v>112129.7953846154</v>
      </c>
      <c r="G186" s="15">
        <v>533407.6840733325</v>
      </c>
      <c r="H186" s="26">
        <v>27378.95</v>
      </c>
      <c r="I186" s="26">
        <v>352066.15830191586</v>
      </c>
      <c r="J186" s="15">
        <f t="shared" si="27"/>
        <v>2104040.372</v>
      </c>
      <c r="K186" s="44">
        <f t="shared" si="28"/>
        <v>0.06724343019</v>
      </c>
    </row>
    <row r="187" ht="14.25" customHeight="1">
      <c r="A187" s="26" t="s">
        <v>34</v>
      </c>
      <c r="B187" s="15">
        <v>2113.8997665428797</v>
      </c>
      <c r="C187" s="15">
        <v>604140.23</v>
      </c>
      <c r="D187" s="26">
        <v>331973.18879333336</v>
      </c>
      <c r="E187" s="15">
        <v>137386.7897645301</v>
      </c>
      <c r="F187" s="15">
        <v>0.0</v>
      </c>
      <c r="G187" s="15">
        <v>533407.6840733325</v>
      </c>
      <c r="H187" s="26">
        <v>27378.95</v>
      </c>
      <c r="I187" s="26">
        <v>335227.4731316528</v>
      </c>
      <c r="J187" s="15">
        <f t="shared" si="27"/>
        <v>1971628.216</v>
      </c>
      <c r="K187" s="44">
        <f t="shared" si="28"/>
        <v>0.06301164467</v>
      </c>
    </row>
    <row r="188" ht="14.25" customHeight="1">
      <c r="A188" s="26" t="s">
        <v>35</v>
      </c>
      <c r="B188" s="15">
        <v>2184.6161511145365</v>
      </c>
      <c r="C188" s="15">
        <v>607958.51</v>
      </c>
      <c r="D188" s="26">
        <v>331973.18879333336</v>
      </c>
      <c r="E188" s="15">
        <v>136940.62890654794</v>
      </c>
      <c r="F188" s="15">
        <v>112129.7953846154</v>
      </c>
      <c r="G188" s="15">
        <v>533407.6840733325</v>
      </c>
      <c r="H188" s="26">
        <v>27378.95</v>
      </c>
      <c r="I188" s="26">
        <v>352066.1582851321</v>
      </c>
      <c r="J188" s="15">
        <f t="shared" si="27"/>
        <v>2104039.532</v>
      </c>
      <c r="K188" s="44">
        <f t="shared" si="28"/>
        <v>0.06724340334</v>
      </c>
    </row>
    <row r="189" ht="14.25" customHeight="1">
      <c r="B189" s="15">
        <f t="shared" ref="B189:J189" si="29">SUM(B174:B188)</f>
        <v>32626.4675</v>
      </c>
      <c r="C189" s="15">
        <f t="shared" si="29"/>
        <v>9107927.77</v>
      </c>
      <c r="D189" s="15">
        <f t="shared" si="29"/>
        <v>4979597.832</v>
      </c>
      <c r="E189" s="15">
        <f t="shared" si="29"/>
        <v>2053626.149</v>
      </c>
      <c r="F189" s="15">
        <f t="shared" si="29"/>
        <v>1457687.34</v>
      </c>
      <c r="G189" s="15">
        <f t="shared" si="29"/>
        <v>8001115.261</v>
      </c>
      <c r="H189" s="15">
        <f t="shared" si="29"/>
        <v>410684.25</v>
      </c>
      <c r="I189" s="15">
        <f t="shared" si="29"/>
        <v>5246637.39</v>
      </c>
      <c r="J189" s="15">
        <f t="shared" si="29"/>
        <v>31289902.46</v>
      </c>
      <c r="K189" s="44">
        <f t="shared" si="28"/>
        <v>1</v>
      </c>
    </row>
    <row r="190" ht="14.25" customHeight="1"/>
    <row r="191" ht="14.25" customHeight="1"/>
    <row r="192" ht="14.25" customHeight="1">
      <c r="B192" s="26" t="s">
        <v>306</v>
      </c>
      <c r="C192" s="26" t="s">
        <v>307</v>
      </c>
      <c r="D192" s="26" t="s">
        <v>308</v>
      </c>
      <c r="E192" s="26" t="s">
        <v>206</v>
      </c>
      <c r="F192" s="26" t="s">
        <v>309</v>
      </c>
      <c r="G192" s="61" t="s">
        <v>310</v>
      </c>
      <c r="H192" s="61" t="s">
        <v>207</v>
      </c>
      <c r="I192" s="61" t="s">
        <v>208</v>
      </c>
      <c r="J192" s="26" t="s">
        <v>312</v>
      </c>
    </row>
    <row r="193" ht="14.25" customHeight="1">
      <c r="A193" s="26" t="s">
        <v>5</v>
      </c>
      <c r="B193" s="15">
        <v>48448.719658499234</v>
      </c>
      <c r="C193" s="15">
        <v>581017.1466666667</v>
      </c>
      <c r="D193" s="26">
        <v>377431.48158000025</v>
      </c>
      <c r="E193" s="15">
        <v>1240946.7693333346</v>
      </c>
      <c r="F193" s="15">
        <v>790834.5877999999</v>
      </c>
      <c r="G193" s="15">
        <v>144320.67211862642</v>
      </c>
      <c r="H193" s="26">
        <v>14489.444705882352</v>
      </c>
      <c r="I193" s="26">
        <v>959275.6192468392</v>
      </c>
      <c r="J193" s="26">
        <v>217418.61852827694</v>
      </c>
      <c r="K193" s="15">
        <f t="shared" ref="K193:K209" si="30">SUM(B193:J193)</f>
        <v>4374183.06</v>
      </c>
      <c r="L193" s="44">
        <f t="shared" ref="L193:L210" si="31">K193/SUM(K$193:K$209)</f>
        <v>0.06561682583</v>
      </c>
      <c r="N193" s="15">
        <f>B210+D210+F210+G210+J210</f>
        <v>24445373.73</v>
      </c>
    </row>
    <row r="194" ht="14.25" customHeight="1">
      <c r="A194" s="26" t="s">
        <v>18</v>
      </c>
      <c r="B194" s="15">
        <v>47040.65828291442</v>
      </c>
      <c r="C194" s="15">
        <v>581017.1466666667</v>
      </c>
      <c r="D194" s="26">
        <v>377431.48158000025</v>
      </c>
      <c r="E194" s="15">
        <v>1240946.7693333346</v>
      </c>
      <c r="F194" s="15">
        <v>790834.5877999999</v>
      </c>
      <c r="G194" s="15">
        <v>143454.15847341457</v>
      </c>
      <c r="H194" s="26">
        <v>14489.444705882352</v>
      </c>
      <c r="I194" s="26">
        <v>960792.9077278628</v>
      </c>
      <c r="J194" s="26">
        <v>274487.6126836946</v>
      </c>
      <c r="K194" s="15">
        <f t="shared" si="30"/>
        <v>4430494.767</v>
      </c>
      <c r="L194" s="44">
        <f t="shared" si="31"/>
        <v>0.06646155396</v>
      </c>
      <c r="N194" s="15">
        <f>C210+E210+H210+I210</f>
        <v>42217147.73</v>
      </c>
      <c r="O194" s="21">
        <f>N194/(N194+N193)</f>
        <v>0.6332965932</v>
      </c>
    </row>
    <row r="195" ht="14.25" customHeight="1">
      <c r="A195" s="26" t="s">
        <v>20</v>
      </c>
      <c r="B195" s="15">
        <v>46999.48191166599</v>
      </c>
      <c r="C195" s="15">
        <v>581017.1466666667</v>
      </c>
      <c r="D195" s="26">
        <v>377431.48158000025</v>
      </c>
      <c r="E195" s="15">
        <v>1240946.7693333346</v>
      </c>
      <c r="F195" s="15">
        <v>790834.5877999999</v>
      </c>
      <c r="G195" s="15">
        <v>143428.81874876498</v>
      </c>
      <c r="H195" s="26">
        <v>14489.444705882352</v>
      </c>
      <c r="I195" s="26">
        <v>960792.9077278628</v>
      </c>
      <c r="J195" s="26">
        <v>274487.6126836946</v>
      </c>
      <c r="K195" s="15">
        <f t="shared" si="30"/>
        <v>4430428.251</v>
      </c>
      <c r="L195" s="44">
        <f t="shared" si="31"/>
        <v>0.06646055616</v>
      </c>
    </row>
    <row r="196" ht="14.25" customHeight="1">
      <c r="A196" s="26" t="s">
        <v>22</v>
      </c>
      <c r="B196" s="15">
        <v>0.0</v>
      </c>
      <c r="C196" s="15">
        <v>0.0</v>
      </c>
      <c r="D196" s="26">
        <v>0.0</v>
      </c>
      <c r="E196" s="15">
        <v>0.0</v>
      </c>
      <c r="F196" s="15">
        <v>0.0</v>
      </c>
      <c r="G196" s="15">
        <v>0.0</v>
      </c>
      <c r="H196" s="26">
        <v>14489.444705882352</v>
      </c>
      <c r="I196" s="26">
        <v>115496.05128154451</v>
      </c>
      <c r="J196" s="26">
        <v>0.0</v>
      </c>
      <c r="K196" s="15">
        <f t="shared" si="30"/>
        <v>129985.496</v>
      </c>
      <c r="L196" s="44">
        <f t="shared" si="31"/>
        <v>0.001949903681</v>
      </c>
    </row>
    <row r="197" ht="14.25" customHeight="1">
      <c r="A197" s="26" t="s">
        <v>23</v>
      </c>
      <c r="B197" s="15">
        <v>46999.49015478909</v>
      </c>
      <c r="C197" s="15">
        <v>581017.1466666667</v>
      </c>
      <c r="D197" s="26">
        <v>377431.48158000025</v>
      </c>
      <c r="E197" s="15">
        <v>1240946.7693333346</v>
      </c>
      <c r="F197" s="15">
        <v>790834.5877999999</v>
      </c>
      <c r="G197" s="15">
        <v>143428.82382154005</v>
      </c>
      <c r="H197" s="26">
        <v>14489.444705882352</v>
      </c>
      <c r="I197" s="26">
        <v>960792.9077278628</v>
      </c>
      <c r="J197" s="26">
        <v>274487.6126836946</v>
      </c>
      <c r="K197" s="15">
        <f t="shared" si="30"/>
        <v>4430428.264</v>
      </c>
      <c r="L197" s="44">
        <f t="shared" si="31"/>
        <v>0.06646055636</v>
      </c>
    </row>
    <row r="198" ht="14.25" customHeight="1">
      <c r="A198" s="26" t="s">
        <v>24</v>
      </c>
      <c r="B198" s="15">
        <v>46999.4859727048</v>
      </c>
      <c r="C198" s="15">
        <v>581017.1466666667</v>
      </c>
      <c r="D198" s="26">
        <v>377431.48158000025</v>
      </c>
      <c r="E198" s="15">
        <v>1240946.7693333346</v>
      </c>
      <c r="F198" s="15">
        <v>790834.5877999999</v>
      </c>
      <c r="G198" s="15">
        <v>143428.82124790718</v>
      </c>
      <c r="H198" s="26">
        <v>14489.444705882352</v>
      </c>
      <c r="I198" s="26">
        <v>960792.9077278628</v>
      </c>
      <c r="J198" s="26">
        <v>274487.6126836946</v>
      </c>
      <c r="K198" s="15">
        <f t="shared" si="30"/>
        <v>4430428.258</v>
      </c>
      <c r="L198" s="44">
        <f t="shared" si="31"/>
        <v>0.06646055626</v>
      </c>
    </row>
    <row r="199" ht="14.25" customHeight="1">
      <c r="A199" s="26" t="s">
        <v>25</v>
      </c>
      <c r="B199" s="15">
        <v>46999.48255775549</v>
      </c>
      <c r="C199" s="15">
        <v>581017.1466666667</v>
      </c>
      <c r="D199" s="26">
        <v>377431.48158000025</v>
      </c>
      <c r="E199" s="15">
        <v>1240946.7693333346</v>
      </c>
      <c r="F199" s="15">
        <v>790834.5877999999</v>
      </c>
      <c r="G199" s="15">
        <v>143428.81914636507</v>
      </c>
      <c r="H199" s="26">
        <v>14489.444705882352</v>
      </c>
      <c r="I199" s="26">
        <v>960792.9077278628</v>
      </c>
      <c r="J199" s="26">
        <v>274487.6126836946</v>
      </c>
      <c r="K199" s="15">
        <f t="shared" si="30"/>
        <v>4430428.252</v>
      </c>
      <c r="L199" s="44">
        <f t="shared" si="31"/>
        <v>0.06646055618</v>
      </c>
    </row>
    <row r="200" ht="14.25" customHeight="1">
      <c r="A200" s="26" t="s">
        <v>26</v>
      </c>
      <c r="B200" s="15">
        <v>46999.4824530021</v>
      </c>
      <c r="C200" s="15">
        <v>581017.1466666667</v>
      </c>
      <c r="D200" s="26">
        <v>377431.48158000025</v>
      </c>
      <c r="E200" s="15">
        <v>1240946.7693333346</v>
      </c>
      <c r="F200" s="15">
        <v>790834.5877999999</v>
      </c>
      <c r="G200" s="15">
        <v>143428.8190819004</v>
      </c>
      <c r="H200" s="26">
        <v>14489.444705882352</v>
      </c>
      <c r="I200" s="26">
        <v>960792.9077278628</v>
      </c>
      <c r="J200" s="26">
        <v>274487.6126836946</v>
      </c>
      <c r="K200" s="15">
        <f t="shared" si="30"/>
        <v>4430428.252</v>
      </c>
      <c r="L200" s="44">
        <f t="shared" si="31"/>
        <v>0.06646055617</v>
      </c>
    </row>
    <row r="201" ht="14.25" customHeight="1">
      <c r="A201" s="26" t="s">
        <v>27</v>
      </c>
      <c r="B201" s="15">
        <v>46999.48234824871</v>
      </c>
      <c r="C201" s="15">
        <v>581017.1466666667</v>
      </c>
      <c r="D201" s="26">
        <v>377431.48158000025</v>
      </c>
      <c r="E201" s="15">
        <v>1240946.7693333346</v>
      </c>
      <c r="F201" s="15">
        <v>790834.5877999999</v>
      </c>
      <c r="G201" s="15">
        <v>143428.81901743574</v>
      </c>
      <c r="H201" s="26">
        <v>14489.444705882352</v>
      </c>
      <c r="I201" s="26">
        <v>960792.9077278628</v>
      </c>
      <c r="J201" s="26">
        <v>274487.6126836946</v>
      </c>
      <c r="K201" s="15">
        <f t="shared" si="30"/>
        <v>4430428.252</v>
      </c>
      <c r="L201" s="44">
        <f t="shared" si="31"/>
        <v>0.06646055617</v>
      </c>
    </row>
    <row r="202" ht="14.25" customHeight="1">
      <c r="A202" s="26" t="s">
        <v>28</v>
      </c>
      <c r="B202" s="15">
        <v>46999.48662079849</v>
      </c>
      <c r="C202" s="15">
        <v>581017.1466666667</v>
      </c>
      <c r="D202" s="26">
        <v>377431.48158000025</v>
      </c>
      <c r="E202" s="15">
        <v>1240946.7693333346</v>
      </c>
      <c r="F202" s="15">
        <v>790834.5877999999</v>
      </c>
      <c r="G202" s="15">
        <v>143428.82164674066</v>
      </c>
      <c r="H202" s="26">
        <v>14489.444705882352</v>
      </c>
      <c r="I202" s="26">
        <v>960792.9077278628</v>
      </c>
      <c r="J202" s="26">
        <v>274487.6126836946</v>
      </c>
      <c r="K202" s="15">
        <f t="shared" si="30"/>
        <v>4430428.259</v>
      </c>
      <c r="L202" s="44">
        <f t="shared" si="31"/>
        <v>0.06646055628</v>
      </c>
    </row>
    <row r="203" ht="14.25" customHeight="1">
      <c r="A203" s="26" t="s">
        <v>29</v>
      </c>
      <c r="B203" s="15">
        <v>46999.47981058239</v>
      </c>
      <c r="C203" s="15">
        <v>581017.1466666667</v>
      </c>
      <c r="D203" s="26">
        <v>377431.48158000025</v>
      </c>
      <c r="E203" s="15">
        <v>1240946.7693333346</v>
      </c>
      <c r="F203" s="15">
        <v>790834.5877999999</v>
      </c>
      <c r="G203" s="15">
        <v>143428.81745576905</v>
      </c>
      <c r="H203" s="26">
        <v>14489.444705882352</v>
      </c>
      <c r="I203" s="26">
        <v>960792.9077278628</v>
      </c>
      <c r="J203" s="26">
        <v>274487.6126836946</v>
      </c>
      <c r="K203" s="15">
        <f t="shared" si="30"/>
        <v>4430428.248</v>
      </c>
      <c r="L203" s="44">
        <f t="shared" si="31"/>
        <v>0.06646055611</v>
      </c>
    </row>
    <row r="204" ht="14.25" customHeight="1">
      <c r="A204" s="26" t="s">
        <v>30</v>
      </c>
      <c r="B204" s="15">
        <v>46999.48203398855</v>
      </c>
      <c r="C204" s="15">
        <v>581017.1466666667</v>
      </c>
      <c r="D204" s="26">
        <v>377431.48158000025</v>
      </c>
      <c r="E204" s="15">
        <v>1240946.7693333346</v>
      </c>
      <c r="F204" s="15">
        <v>790834.5877999999</v>
      </c>
      <c r="G204" s="15">
        <v>143428.81882404163</v>
      </c>
      <c r="H204" s="26">
        <v>14489.444705882352</v>
      </c>
      <c r="I204" s="26">
        <v>960792.9077278628</v>
      </c>
      <c r="J204" s="26">
        <v>274487.6126836946</v>
      </c>
      <c r="K204" s="15">
        <f t="shared" si="30"/>
        <v>4430428.251</v>
      </c>
      <c r="L204" s="44">
        <f t="shared" si="31"/>
        <v>0.06646055616</v>
      </c>
    </row>
    <row r="205" ht="14.25" customHeight="1">
      <c r="A205" s="26" t="s">
        <v>31</v>
      </c>
      <c r="B205" s="15">
        <v>46999.48192923516</v>
      </c>
      <c r="C205" s="15">
        <v>581017.1466666667</v>
      </c>
      <c r="D205" s="26">
        <v>377431.48158000025</v>
      </c>
      <c r="E205" s="15">
        <v>1240946.7693333346</v>
      </c>
      <c r="F205" s="15">
        <v>790834.5877999999</v>
      </c>
      <c r="G205" s="15">
        <v>143428.81875957697</v>
      </c>
      <c r="H205" s="26">
        <v>14489.444705882352</v>
      </c>
      <c r="I205" s="26">
        <v>960792.9077278628</v>
      </c>
      <c r="J205" s="26">
        <v>274487.6126836946</v>
      </c>
      <c r="K205" s="15">
        <f t="shared" si="30"/>
        <v>4430428.251</v>
      </c>
      <c r="L205" s="44">
        <f t="shared" si="31"/>
        <v>0.06646055616</v>
      </c>
    </row>
    <row r="206" ht="14.25" customHeight="1">
      <c r="A206" s="26" t="s">
        <v>32</v>
      </c>
      <c r="B206" s="15">
        <v>46999.47949632222</v>
      </c>
      <c r="C206" s="15">
        <v>581017.1466666667</v>
      </c>
      <c r="D206" s="26">
        <v>377431.48158000025</v>
      </c>
      <c r="E206" s="15">
        <v>1240946.7693333346</v>
      </c>
      <c r="F206" s="15">
        <v>790834.5877999999</v>
      </c>
      <c r="G206" s="15">
        <v>143428.817262375</v>
      </c>
      <c r="H206" s="26">
        <v>14489.444705882352</v>
      </c>
      <c r="I206" s="26">
        <v>960792.9077278628</v>
      </c>
      <c r="J206" s="26">
        <v>274487.6126836946</v>
      </c>
      <c r="K206" s="15">
        <f t="shared" si="30"/>
        <v>4430428.247</v>
      </c>
      <c r="L206" s="44">
        <f t="shared" si="31"/>
        <v>0.0664605561</v>
      </c>
    </row>
    <row r="207" ht="14.25" customHeight="1">
      <c r="A207" s="26" t="s">
        <v>34</v>
      </c>
      <c r="B207" s="15">
        <v>48426.58791945003</v>
      </c>
      <c r="C207" s="15">
        <v>581017.1466666667</v>
      </c>
      <c r="D207" s="26">
        <v>377431.48158000025</v>
      </c>
      <c r="E207" s="15">
        <v>1240946.7693333346</v>
      </c>
      <c r="F207" s="15">
        <v>790834.5877999999</v>
      </c>
      <c r="G207" s="15">
        <v>144307.0523615541</v>
      </c>
      <c r="H207" s="26">
        <v>14489.444705882352</v>
      </c>
      <c r="I207" s="26">
        <v>960792.9077278628</v>
      </c>
      <c r="J207" s="26">
        <v>274487.6126836946</v>
      </c>
      <c r="K207" s="15">
        <f t="shared" si="30"/>
        <v>4432733.591</v>
      </c>
      <c r="L207" s="44">
        <f t="shared" si="31"/>
        <v>0.06649513841</v>
      </c>
    </row>
    <row r="208" ht="14.25" customHeight="1">
      <c r="A208" s="26" t="s">
        <v>35</v>
      </c>
      <c r="B208" s="15">
        <v>46999.48855004359</v>
      </c>
      <c r="C208" s="15">
        <v>581017.1466666667</v>
      </c>
      <c r="D208" s="26">
        <v>377431.48158000025</v>
      </c>
      <c r="E208" s="15">
        <v>1240946.7693333346</v>
      </c>
      <c r="F208" s="15">
        <v>790834.5877999999</v>
      </c>
      <c r="G208" s="15">
        <v>143428.82283398803</v>
      </c>
      <c r="H208" s="26">
        <v>14489.444705882352</v>
      </c>
      <c r="I208" s="26">
        <v>960792.9077278628</v>
      </c>
      <c r="J208" s="26">
        <v>274487.6126836946</v>
      </c>
      <c r="K208" s="15">
        <f t="shared" si="30"/>
        <v>4430428.262</v>
      </c>
      <c r="L208" s="44">
        <f t="shared" si="31"/>
        <v>0.06646055632</v>
      </c>
    </row>
    <row r="209" ht="14.25" customHeight="1">
      <c r="A209" s="26" t="s">
        <v>36</v>
      </c>
      <c r="B209" s="15">
        <v>0.0</v>
      </c>
      <c r="C209" s="15">
        <v>0.0</v>
      </c>
      <c r="D209" s="26">
        <v>0.0</v>
      </c>
      <c r="E209" s="15">
        <v>0.0</v>
      </c>
      <c r="F209" s="15">
        <v>0.0</v>
      </c>
      <c r="G209" s="15">
        <v>0.0</v>
      </c>
      <c r="H209" s="26">
        <v>14489.444705882352</v>
      </c>
      <c r="I209" s="26">
        <v>115496.05128154451</v>
      </c>
      <c r="J209" s="26">
        <v>0.0</v>
      </c>
      <c r="K209" s="15">
        <f t="shared" si="30"/>
        <v>129985.496</v>
      </c>
      <c r="L209" s="44">
        <f t="shared" si="31"/>
        <v>0.001949903681</v>
      </c>
    </row>
    <row r="210" ht="14.25" customHeight="1">
      <c r="B210" s="15">
        <f t="shared" ref="B210:K210" si="32">SUM(B193:B209)</f>
        <v>707909.7697</v>
      </c>
      <c r="C210" s="15">
        <f t="shared" si="32"/>
        <v>8715257.2</v>
      </c>
      <c r="D210" s="15">
        <f t="shared" si="32"/>
        <v>5661472.224</v>
      </c>
      <c r="E210" s="15">
        <f t="shared" si="32"/>
        <v>18614201.54</v>
      </c>
      <c r="F210" s="15">
        <f t="shared" si="32"/>
        <v>11862518.82</v>
      </c>
      <c r="G210" s="15">
        <f t="shared" si="32"/>
        <v>2153227.721</v>
      </c>
      <c r="H210" s="15">
        <f t="shared" si="32"/>
        <v>246320.56</v>
      </c>
      <c r="I210" s="15">
        <f t="shared" si="32"/>
        <v>14641368.43</v>
      </c>
      <c r="J210" s="15">
        <f t="shared" si="32"/>
        <v>4060245.196</v>
      </c>
      <c r="K210" s="15">
        <f t="shared" si="32"/>
        <v>66662521.46</v>
      </c>
      <c r="L210" s="44">
        <f t="shared" si="31"/>
        <v>1</v>
      </c>
    </row>
    <row r="211" ht="14.25" customHeight="1"/>
    <row r="212" ht="14.25" customHeight="1"/>
    <row r="213" ht="14.25" customHeight="1">
      <c r="B213" s="26" t="s">
        <v>237</v>
      </c>
      <c r="C213" s="26" t="s">
        <v>249</v>
      </c>
      <c r="D213" s="26" t="s">
        <v>333</v>
      </c>
      <c r="E213" s="26" t="s">
        <v>206</v>
      </c>
      <c r="F213" s="26" t="s">
        <v>334</v>
      </c>
      <c r="G213" s="61" t="s">
        <v>335</v>
      </c>
      <c r="H213" s="61" t="s">
        <v>336</v>
      </c>
      <c r="I213" s="61" t="s">
        <v>208</v>
      </c>
      <c r="J213" s="26" t="s">
        <v>312</v>
      </c>
    </row>
    <row r="214" ht="14.25" customHeight="1">
      <c r="A214" s="26" t="s">
        <v>5</v>
      </c>
      <c r="B214" s="15">
        <v>461499.9357562982</v>
      </c>
      <c r="C214" s="15">
        <v>904386.67</v>
      </c>
      <c r="D214" s="26">
        <v>597733.6384179568</v>
      </c>
      <c r="E214" s="15"/>
      <c r="F214" s="15">
        <v>161784.6510185729</v>
      </c>
      <c r="G214" s="15">
        <v>28270.488235294113</v>
      </c>
      <c r="H214" s="26">
        <v>949069.116563422</v>
      </c>
      <c r="I214" s="26"/>
      <c r="J214" s="26"/>
      <c r="K214" s="15">
        <f t="shared" ref="K214:K230" si="33">SUM(B214:J214)</f>
        <v>3102744.5</v>
      </c>
      <c r="L214" s="44">
        <f t="shared" ref="L214:L230" si="34">K214/SUM(K$214:K$230)</f>
        <v>0.0640635871</v>
      </c>
      <c r="N214" s="21">
        <f>K216/334.36</f>
        <v>9335.425508</v>
      </c>
    </row>
    <row r="215" ht="14.25" customHeight="1">
      <c r="A215" s="26" t="s">
        <v>18</v>
      </c>
      <c r="B215" s="15">
        <v>464631.8357978052</v>
      </c>
      <c r="C215" s="15">
        <v>905646.9</v>
      </c>
      <c r="D215" s="26">
        <v>597650.6863766847</v>
      </c>
      <c r="E215" s="15"/>
      <c r="F215" s="15">
        <v>161115.8470692979</v>
      </c>
      <c r="G215" s="15">
        <v>28270.488235294113</v>
      </c>
      <c r="H215" s="26">
        <v>951270.4690567881</v>
      </c>
      <c r="I215" s="26"/>
      <c r="J215" s="26"/>
      <c r="K215" s="15">
        <f t="shared" si="33"/>
        <v>3108586.227</v>
      </c>
      <c r="L215" s="44">
        <f t="shared" si="34"/>
        <v>0.06418420353</v>
      </c>
    </row>
    <row r="216" ht="14.25" customHeight="1">
      <c r="A216" s="26" t="s">
        <v>20</v>
      </c>
      <c r="B216" s="15">
        <v>464632.5576693154</v>
      </c>
      <c r="C216" s="15">
        <v>905646.9</v>
      </c>
      <c r="D216" s="26">
        <v>597650.7843606771</v>
      </c>
      <c r="E216" s="15"/>
      <c r="F216" s="15">
        <v>161116.63706891803</v>
      </c>
      <c r="G216" s="15">
        <v>28270.488235294113</v>
      </c>
      <c r="H216" s="26">
        <v>964075.5056660414</v>
      </c>
      <c r="I216" s="26"/>
      <c r="J216" s="26"/>
      <c r="K216" s="15">
        <f t="shared" si="33"/>
        <v>3121392.873</v>
      </c>
      <c r="L216" s="44">
        <f t="shared" si="34"/>
        <v>0.0644486274</v>
      </c>
    </row>
    <row r="217" ht="14.25" customHeight="1">
      <c r="A217" s="26" t="s">
        <v>22</v>
      </c>
      <c r="B217" s="15">
        <v>-1410.678498599489</v>
      </c>
      <c r="C217" s="15">
        <v>58687.39</v>
      </c>
      <c r="D217" s="26">
        <v>28180.506600037344</v>
      </c>
      <c r="E217" s="15"/>
      <c r="F217" s="15">
        <v>65377.13401941422</v>
      </c>
      <c r="G217" s="15">
        <v>28270.488235294113</v>
      </c>
      <c r="H217" s="26">
        <v>649838.7199119389</v>
      </c>
      <c r="I217" s="26"/>
      <c r="J217" s="26"/>
      <c r="K217" s="15">
        <f t="shared" si="33"/>
        <v>828943.5603</v>
      </c>
      <c r="L217" s="44">
        <f t="shared" si="34"/>
        <v>0.01711552401</v>
      </c>
    </row>
    <row r="218" ht="14.25" customHeight="1">
      <c r="A218" s="26" t="s">
        <v>23</v>
      </c>
      <c r="B218" s="15">
        <v>464632.5575248034</v>
      </c>
      <c r="C218" s="15">
        <v>905646.9</v>
      </c>
      <c r="D218" s="26">
        <v>597650.7843410617</v>
      </c>
      <c r="E218" s="15"/>
      <c r="F218" s="15">
        <v>161116.63691076753</v>
      </c>
      <c r="G218" s="15">
        <v>28270.488235294113</v>
      </c>
      <c r="H218" s="26">
        <v>964075.5056660414</v>
      </c>
      <c r="I218" s="26"/>
      <c r="J218" s="26"/>
      <c r="K218" s="15">
        <f t="shared" si="33"/>
        <v>3121392.873</v>
      </c>
      <c r="L218" s="44">
        <f t="shared" si="34"/>
        <v>0.06444862739</v>
      </c>
    </row>
    <row r="219" ht="14.25" customHeight="1">
      <c r="A219" s="26" t="s">
        <v>24</v>
      </c>
      <c r="B219" s="15">
        <v>464632.5575981205</v>
      </c>
      <c r="C219" s="15">
        <v>905646.9</v>
      </c>
      <c r="D219" s="26">
        <v>597650.7843510135</v>
      </c>
      <c r="E219" s="15"/>
      <c r="F219" s="15">
        <v>161116.63699100396</v>
      </c>
      <c r="G219" s="15">
        <v>28270.488235294113</v>
      </c>
      <c r="H219" s="26">
        <v>964075.5056660414</v>
      </c>
      <c r="I219" s="26"/>
      <c r="J219" s="26"/>
      <c r="K219" s="15">
        <f t="shared" si="33"/>
        <v>3121392.873</v>
      </c>
      <c r="L219" s="44">
        <f t="shared" si="34"/>
        <v>0.0644486274</v>
      </c>
    </row>
    <row r="220" ht="14.25" customHeight="1">
      <c r="A220" s="26" t="s">
        <v>25</v>
      </c>
      <c r="B220" s="15">
        <v>464632.55765798857</v>
      </c>
      <c r="C220" s="15">
        <v>905646.9</v>
      </c>
      <c r="D220" s="26">
        <v>597650.7843591397</v>
      </c>
      <c r="E220" s="15"/>
      <c r="F220" s="15">
        <v>161116.63705652233</v>
      </c>
      <c r="G220" s="15">
        <v>28270.488235294113</v>
      </c>
      <c r="H220" s="26">
        <v>964075.5056660414</v>
      </c>
      <c r="I220" s="26"/>
      <c r="J220" s="26"/>
      <c r="K220" s="15">
        <f t="shared" si="33"/>
        <v>3121392.873</v>
      </c>
      <c r="L220" s="44">
        <f t="shared" si="34"/>
        <v>0.0644486274</v>
      </c>
    </row>
    <row r="221" ht="14.25" customHeight="1">
      <c r="A221" s="26" t="s">
        <v>26</v>
      </c>
      <c r="B221" s="15">
        <v>464632.5576598251</v>
      </c>
      <c r="C221" s="15">
        <v>905646.9</v>
      </c>
      <c r="D221" s="26">
        <v>597650.784359389</v>
      </c>
      <c r="E221" s="15"/>
      <c r="F221" s="15">
        <v>161116.6370585321</v>
      </c>
      <c r="G221" s="15">
        <v>28270.488235294113</v>
      </c>
      <c r="H221" s="26">
        <v>964075.5056660414</v>
      </c>
      <c r="I221" s="26"/>
      <c r="J221" s="26"/>
      <c r="K221" s="15">
        <f t="shared" si="33"/>
        <v>3121392.873</v>
      </c>
      <c r="L221" s="44">
        <f t="shared" si="34"/>
        <v>0.0644486274</v>
      </c>
    </row>
    <row r="222" ht="14.25" customHeight="1">
      <c r="A222" s="26" t="s">
        <v>27</v>
      </c>
      <c r="B222" s="15">
        <v>464632.5576616615</v>
      </c>
      <c r="C222" s="15">
        <v>905646.9</v>
      </c>
      <c r="D222" s="26">
        <v>597650.7843596382</v>
      </c>
      <c r="E222" s="15"/>
      <c r="F222" s="15">
        <v>161116.63706054186</v>
      </c>
      <c r="G222" s="15">
        <v>28270.488235294113</v>
      </c>
      <c r="H222" s="26">
        <v>964075.5056660414</v>
      </c>
      <c r="I222" s="26"/>
      <c r="J222" s="26"/>
      <c r="K222" s="15">
        <f t="shared" si="33"/>
        <v>3121392.873</v>
      </c>
      <c r="L222" s="44">
        <f t="shared" si="34"/>
        <v>0.0644486274</v>
      </c>
    </row>
    <row r="223" ht="14.25" customHeight="1">
      <c r="A223" s="26" t="s">
        <v>28</v>
      </c>
      <c r="B223" s="15">
        <v>464632.55758675863</v>
      </c>
      <c r="C223" s="15">
        <v>905646.9</v>
      </c>
      <c r="D223" s="26">
        <v>597650.7843494712</v>
      </c>
      <c r="E223" s="15"/>
      <c r="F223" s="15">
        <v>161116.6369785698</v>
      </c>
      <c r="G223" s="15">
        <v>28270.488235294113</v>
      </c>
      <c r="H223" s="26">
        <v>964075.5056660414</v>
      </c>
      <c r="I223" s="26"/>
      <c r="J223" s="26"/>
      <c r="K223" s="15">
        <f t="shared" si="33"/>
        <v>3121392.873</v>
      </c>
      <c r="L223" s="44">
        <f t="shared" si="34"/>
        <v>0.0644486274</v>
      </c>
    </row>
    <row r="224" ht="14.25" customHeight="1">
      <c r="A224" s="26" t="s">
        <v>29</v>
      </c>
      <c r="B224" s="15">
        <v>464632.55770614994</v>
      </c>
      <c r="C224" s="15">
        <v>905646.9</v>
      </c>
      <c r="D224" s="26">
        <v>597650.7843656769</v>
      </c>
      <c r="E224" s="15"/>
      <c r="F224" s="15">
        <v>161116.6371092289</v>
      </c>
      <c r="G224" s="15">
        <v>28270.488235294113</v>
      </c>
      <c r="H224" s="26">
        <v>964075.5056660414</v>
      </c>
      <c r="I224" s="26"/>
      <c r="J224" s="26"/>
      <c r="K224" s="15">
        <f t="shared" si="33"/>
        <v>3121392.873</v>
      </c>
      <c r="L224" s="44">
        <f t="shared" si="34"/>
        <v>0.0644486274</v>
      </c>
    </row>
    <row r="225" ht="14.25" customHeight="1">
      <c r="A225" s="26" t="s">
        <v>30</v>
      </c>
      <c r="B225" s="15">
        <v>464632.55766717094</v>
      </c>
      <c r="C225" s="15">
        <v>905646.9</v>
      </c>
      <c r="D225" s="26">
        <v>597650.7843603861</v>
      </c>
      <c r="E225" s="15"/>
      <c r="F225" s="15">
        <v>161116.6370665712</v>
      </c>
      <c r="G225" s="15">
        <v>28270.488235294113</v>
      </c>
      <c r="H225" s="26">
        <v>964075.5056660414</v>
      </c>
      <c r="I225" s="26"/>
      <c r="J225" s="26"/>
      <c r="K225" s="15">
        <f t="shared" si="33"/>
        <v>3121392.873</v>
      </c>
      <c r="L225" s="44">
        <f t="shared" si="34"/>
        <v>0.0644486274</v>
      </c>
    </row>
    <row r="226" ht="14.25" customHeight="1">
      <c r="A226" s="26" t="s">
        <v>31</v>
      </c>
      <c r="B226" s="15">
        <v>464632.5576690074</v>
      </c>
      <c r="C226" s="15">
        <v>905646.9</v>
      </c>
      <c r="D226" s="26">
        <v>597650.7843606354</v>
      </c>
      <c r="E226" s="15"/>
      <c r="F226" s="15">
        <v>161116.63706858095</v>
      </c>
      <c r="G226" s="15">
        <v>28270.488235294113</v>
      </c>
      <c r="H226" s="26">
        <v>964075.5056660414</v>
      </c>
      <c r="I226" s="26"/>
      <c r="J226" s="26"/>
      <c r="K226" s="15">
        <f t="shared" si="33"/>
        <v>3121392.873</v>
      </c>
      <c r="L226" s="44">
        <f t="shared" si="34"/>
        <v>0.0644486274</v>
      </c>
    </row>
    <row r="227" ht="14.25" customHeight="1">
      <c r="A227" s="26" t="s">
        <v>32</v>
      </c>
      <c r="B227" s="15">
        <v>464632.55771165923</v>
      </c>
      <c r="C227" s="15">
        <v>905646.9</v>
      </c>
      <c r="D227" s="26">
        <v>597650.7843664248</v>
      </c>
      <c r="E227" s="15"/>
      <c r="F227" s="15">
        <v>161116.63711525823</v>
      </c>
      <c r="G227" s="15">
        <v>28270.488235294113</v>
      </c>
      <c r="H227" s="26">
        <v>964075.5056660414</v>
      </c>
      <c r="I227" s="26"/>
      <c r="J227" s="26"/>
      <c r="K227" s="15">
        <f t="shared" si="33"/>
        <v>3121392.873</v>
      </c>
      <c r="L227" s="44">
        <f t="shared" si="34"/>
        <v>0.0644486274</v>
      </c>
    </row>
    <row r="228" ht="14.25" customHeight="1">
      <c r="A228" s="26" t="s">
        <v>34</v>
      </c>
      <c r="B228" s="15">
        <v>464607.5387777074</v>
      </c>
      <c r="C228" s="15">
        <v>905646.9</v>
      </c>
      <c r="D228" s="26">
        <v>597647.388394981</v>
      </c>
      <c r="E228" s="15"/>
      <c r="F228" s="15">
        <v>161089.25696790632</v>
      </c>
      <c r="G228" s="15">
        <v>28270.488235294113</v>
      </c>
      <c r="H228" s="26">
        <v>949069.116563422</v>
      </c>
      <c r="I228" s="26"/>
      <c r="J228" s="26"/>
      <c r="K228" s="15">
        <f t="shared" si="33"/>
        <v>3106330.689</v>
      </c>
      <c r="L228" s="44">
        <f t="shared" si="34"/>
        <v>0.06413763256</v>
      </c>
    </row>
    <row r="229" ht="14.25" customHeight="1">
      <c r="A229" s="26" t="s">
        <v>35</v>
      </c>
      <c r="B229" s="15">
        <v>464632.5575529366</v>
      </c>
      <c r="C229" s="15">
        <v>905646.9</v>
      </c>
      <c r="D229" s="26">
        <v>597650.7843448804</v>
      </c>
      <c r="E229" s="15"/>
      <c r="F229" s="15">
        <v>161116.6369415558</v>
      </c>
      <c r="G229" s="15">
        <v>28270.488235294113</v>
      </c>
      <c r="H229" s="26">
        <v>964075.5056660414</v>
      </c>
      <c r="I229" s="26"/>
      <c r="J229" s="26"/>
      <c r="K229" s="15">
        <f t="shared" si="33"/>
        <v>3121392.873</v>
      </c>
      <c r="L229" s="44">
        <f t="shared" si="34"/>
        <v>0.0644486274</v>
      </c>
    </row>
    <row r="230" ht="14.25" customHeight="1">
      <c r="A230" s="26" t="s">
        <v>36</v>
      </c>
      <c r="B230" s="15">
        <v>-1410.6784985994818</v>
      </c>
      <c r="C230" s="15">
        <v>58687.39</v>
      </c>
      <c r="D230" s="26">
        <v>28180.506600037344</v>
      </c>
      <c r="E230" s="15"/>
      <c r="F230" s="15">
        <v>65377.13401941422</v>
      </c>
      <c r="G230" s="15">
        <v>28270.488235294113</v>
      </c>
      <c r="H230" s="26">
        <v>649838.7199119389</v>
      </c>
      <c r="I230" s="26"/>
      <c r="J230" s="26"/>
      <c r="K230" s="15">
        <f t="shared" si="33"/>
        <v>828943.5603</v>
      </c>
      <c r="L230" s="44">
        <f t="shared" si="34"/>
        <v>0.01711552401</v>
      </c>
    </row>
    <row r="231" ht="14.25" customHeight="1">
      <c r="B231" s="15">
        <f t="shared" ref="B231:L231" si="35">SUM(B214:B230)</f>
        <v>6963508.645</v>
      </c>
      <c r="C231" s="15">
        <f t="shared" si="35"/>
        <v>13700818.05</v>
      </c>
      <c r="D231" s="15">
        <f t="shared" si="35"/>
        <v>9021202.139</v>
      </c>
      <c r="E231" s="15">
        <f t="shared" si="35"/>
        <v>0</v>
      </c>
      <c r="F231" s="15">
        <f t="shared" si="35"/>
        <v>2548143.668</v>
      </c>
      <c r="G231" s="15">
        <f t="shared" si="35"/>
        <v>480598.3</v>
      </c>
      <c r="H231" s="15">
        <f t="shared" si="35"/>
        <v>15717992.21</v>
      </c>
      <c r="I231" s="15">
        <f t="shared" si="35"/>
        <v>0</v>
      </c>
      <c r="J231" s="15">
        <f t="shared" si="35"/>
        <v>0</v>
      </c>
      <c r="K231" s="15">
        <f t="shared" si="35"/>
        <v>48432263.01</v>
      </c>
      <c r="L231" s="44">
        <f t="shared" si="35"/>
        <v>1</v>
      </c>
    </row>
    <row r="232" ht="14.25" customHeight="1"/>
    <row r="233" ht="14.25" customHeight="1">
      <c r="A233" s="26" t="s">
        <v>349</v>
      </c>
      <c r="B233" s="15" t="s">
        <v>350</v>
      </c>
      <c r="C233" s="26" t="s">
        <v>351</v>
      </c>
      <c r="E233" s="26" t="s">
        <v>350</v>
      </c>
      <c r="F233" s="26" t="s">
        <v>351</v>
      </c>
    </row>
    <row r="234" ht="14.25" customHeight="1">
      <c r="A234" s="21">
        <v>1.0</v>
      </c>
      <c r="B234" s="15">
        <f>SUM(D2:D16)+SUM(G2:G16)</f>
        <v>12272544.47</v>
      </c>
      <c r="C234" s="21">
        <f>SUM(B2:C16)+SUM(E2:F16)</f>
        <v>12362955.5</v>
      </c>
      <c r="D234" s="20">
        <f t="shared" ref="D234:D245" si="36">SUM(B234:C234)</f>
        <v>24635499.97</v>
      </c>
      <c r="E234" s="44">
        <f t="shared" ref="E234:E246" si="37">B234/D234</f>
        <v>0.4981650255</v>
      </c>
      <c r="F234" s="44">
        <f t="shared" ref="F234:F246" si="38">C234/D234</f>
        <v>0.5018349745</v>
      </c>
    </row>
    <row r="235" ht="14.25" customHeight="1">
      <c r="A235" s="21">
        <v>2.0</v>
      </c>
      <c r="B235" s="21">
        <f>SUM(D22:D36)+SUM(F22:F36)</f>
        <v>13072100.4</v>
      </c>
      <c r="C235" s="21">
        <f>SUM(B22:C36)+SUM(E22:E36)+SUM(G22:G36)</f>
        <v>9625137.66</v>
      </c>
      <c r="D235" s="21">
        <f t="shared" si="36"/>
        <v>22697238.06</v>
      </c>
      <c r="E235" s="44">
        <f t="shared" si="37"/>
        <v>0.5759335284</v>
      </c>
      <c r="F235" s="44">
        <f t="shared" si="38"/>
        <v>0.4240664716</v>
      </c>
    </row>
    <row r="236" ht="14.25" customHeight="1">
      <c r="A236" s="21">
        <v>3.0</v>
      </c>
      <c r="B236" s="21">
        <f>SUM(H42:I56)</f>
        <v>12391547.89</v>
      </c>
      <c r="C236" s="21">
        <f>SUM(B42:G56)</f>
        <v>15989761.6</v>
      </c>
      <c r="D236" s="21">
        <f t="shared" si="36"/>
        <v>28381309.49</v>
      </c>
      <c r="E236" s="44">
        <f t="shared" si="37"/>
        <v>0.4366094487</v>
      </c>
      <c r="F236" s="44">
        <f t="shared" si="38"/>
        <v>0.5633905513</v>
      </c>
    </row>
    <row r="237" ht="14.25" customHeight="1">
      <c r="A237" s="21">
        <v>4.0</v>
      </c>
      <c r="B237" s="21">
        <f>SUM(F61:F75)+SUM(I61:I75)</f>
        <v>12829243.73</v>
      </c>
      <c r="C237" s="21">
        <f>SUM(B62:E75)+SUM(G61:H75)+SUM(J61:K75)</f>
        <v>18523880.62</v>
      </c>
      <c r="D237" s="21">
        <f t="shared" si="36"/>
        <v>31353124.35</v>
      </c>
      <c r="E237" s="44">
        <f t="shared" si="37"/>
        <v>0.4091854957</v>
      </c>
      <c r="F237" s="44">
        <f t="shared" si="38"/>
        <v>0.5908145043</v>
      </c>
    </row>
    <row r="238" ht="14.25" customHeight="1">
      <c r="A238" s="21">
        <v>5.0</v>
      </c>
      <c r="B238" s="15">
        <f>F94+K94+L94</f>
        <v>15517564.29</v>
      </c>
      <c r="C238" s="15">
        <f>B94+C94+D94+E94+G94+H94+I94+J94</f>
        <v>17269584.67</v>
      </c>
      <c r="D238" s="20">
        <f t="shared" si="36"/>
        <v>32787148.96</v>
      </c>
      <c r="E238" s="44">
        <f t="shared" si="37"/>
        <v>0.4732819041</v>
      </c>
      <c r="F238" s="44">
        <f t="shared" si="38"/>
        <v>0.5267180959</v>
      </c>
    </row>
    <row r="239" ht="14.25" customHeight="1">
      <c r="A239" s="21">
        <v>6.0</v>
      </c>
      <c r="B239" s="15">
        <f>F113+I113+L113+M113</f>
        <v>18466372.42</v>
      </c>
      <c r="C239" s="15">
        <f>B113+C113+D113+E113+G113+H113+J113+K113</f>
        <v>14737280.64</v>
      </c>
      <c r="D239" s="20">
        <f t="shared" si="36"/>
        <v>33203653.06</v>
      </c>
      <c r="E239" s="44">
        <f t="shared" si="37"/>
        <v>0.5561548419</v>
      </c>
      <c r="F239" s="44">
        <f t="shared" si="38"/>
        <v>0.4438451581</v>
      </c>
    </row>
    <row r="240" ht="14.25" customHeight="1">
      <c r="A240" s="21">
        <v>7.0</v>
      </c>
      <c r="B240" s="15">
        <f>F132+K132+L132</f>
        <v>15632711.02</v>
      </c>
      <c r="C240" s="15">
        <f>B132+C132+D132+E132+G132+H132+I132+J132</f>
        <v>19556061.05</v>
      </c>
      <c r="D240" s="20">
        <f t="shared" si="36"/>
        <v>35188772.07</v>
      </c>
      <c r="E240" s="44">
        <f t="shared" si="37"/>
        <v>0.4442528143</v>
      </c>
      <c r="F240" s="44">
        <f t="shared" si="38"/>
        <v>0.5557471857</v>
      </c>
    </row>
    <row r="241" ht="14.25" customHeight="1">
      <c r="A241" s="21">
        <v>8.0</v>
      </c>
      <c r="B241" s="15">
        <f>F151+I151+J151</f>
        <v>20751753.77</v>
      </c>
      <c r="C241" s="15">
        <f>B151+D151+E151+G151+H151</f>
        <v>18454796.3</v>
      </c>
      <c r="D241" s="20">
        <f t="shared" si="36"/>
        <v>39206550.07</v>
      </c>
      <c r="E241" s="44">
        <f t="shared" si="37"/>
        <v>0.5292930322</v>
      </c>
      <c r="F241" s="44">
        <f t="shared" si="38"/>
        <v>0.4707069678</v>
      </c>
    </row>
    <row r="242" ht="14.25" customHeight="1">
      <c r="A242" s="21">
        <v>9.0</v>
      </c>
      <c r="B242" s="15">
        <f>C170+F170+H170</f>
        <v>22926311.77</v>
      </c>
      <c r="C242" s="15">
        <f>B170+D170+E170+G170+I170+J170</f>
        <v>21327927.48</v>
      </c>
      <c r="D242" s="20">
        <f t="shared" si="36"/>
        <v>44254239.25</v>
      </c>
      <c r="E242" s="44">
        <f t="shared" si="37"/>
        <v>0.5180591094</v>
      </c>
      <c r="F242" s="44">
        <f t="shared" si="38"/>
        <v>0.4819408906</v>
      </c>
    </row>
    <row r="243" ht="14.25" customHeight="1">
      <c r="A243" s="21">
        <v>10.0</v>
      </c>
      <c r="B243" s="15">
        <f>C189+H189+I189</f>
        <v>14765249.41</v>
      </c>
      <c r="C243" s="15">
        <f>B189+D189+E189+G189+F189</f>
        <v>16524653.05</v>
      </c>
      <c r="D243" s="20">
        <f t="shared" si="36"/>
        <v>31289902.46</v>
      </c>
      <c r="E243" s="44">
        <f t="shared" si="37"/>
        <v>0.4718854406</v>
      </c>
      <c r="F243" s="44">
        <f t="shared" si="38"/>
        <v>0.5281145594</v>
      </c>
    </row>
    <row r="244" ht="14.25" customHeight="1">
      <c r="A244" s="21">
        <v>11.0</v>
      </c>
      <c r="B244" s="15">
        <f>C210+E210+H210+I210</f>
        <v>42217147.73</v>
      </c>
      <c r="C244" s="15">
        <f>B210+D210+F210+G210+J210</f>
        <v>24445373.73</v>
      </c>
      <c r="D244" s="20">
        <f t="shared" si="36"/>
        <v>66662521.46</v>
      </c>
      <c r="E244" s="44">
        <f t="shared" si="37"/>
        <v>0.6332965932</v>
      </c>
      <c r="F244" s="44">
        <f t="shared" si="38"/>
        <v>0.3667034068</v>
      </c>
    </row>
    <row r="245" ht="14.25" customHeight="1">
      <c r="A245" s="21">
        <v>12.0</v>
      </c>
      <c r="B245" s="21">
        <v>2.9899408560000017E7</v>
      </c>
      <c r="C245" s="15">
        <f>B231+D231+F231</f>
        <v>18532854.45</v>
      </c>
      <c r="D245" s="21">
        <f t="shared" si="36"/>
        <v>48432263.01</v>
      </c>
      <c r="E245" s="44">
        <f t="shared" si="37"/>
        <v>0.6173448586</v>
      </c>
      <c r="F245" s="44">
        <f t="shared" si="38"/>
        <v>0.3826551414</v>
      </c>
    </row>
    <row r="246" ht="14.25" customHeight="1">
      <c r="A246" s="26" t="s">
        <v>363</v>
      </c>
      <c r="B246" s="15">
        <f t="shared" ref="B246:D246" si="39">SUM(B234:B245)</f>
        <v>230741955.5</v>
      </c>
      <c r="C246" s="15">
        <f t="shared" si="39"/>
        <v>207350266.7</v>
      </c>
      <c r="D246" s="15">
        <f t="shared" si="39"/>
        <v>438092222.2</v>
      </c>
      <c r="E246" s="44">
        <f t="shared" si="37"/>
        <v>0.5266972198</v>
      </c>
      <c r="F246" s="44">
        <f t="shared" si="38"/>
        <v>0.4733027802</v>
      </c>
    </row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5"/>
      <c r="B1" s="66" t="s">
        <v>297</v>
      </c>
      <c r="C1" s="66" t="s">
        <v>298</v>
      </c>
      <c r="D1" s="66" t="s">
        <v>299</v>
      </c>
      <c r="E1" s="66" t="s">
        <v>300</v>
      </c>
      <c r="F1" s="66" t="s">
        <v>301</v>
      </c>
      <c r="G1" s="66" t="s">
        <v>302</v>
      </c>
      <c r="H1" s="66" t="s">
        <v>303</v>
      </c>
      <c r="I1" s="66" t="s">
        <v>304</v>
      </c>
      <c r="J1" s="66" t="s">
        <v>305</v>
      </c>
      <c r="K1" s="65"/>
      <c r="L1" s="65"/>
      <c r="M1" s="65"/>
      <c r="N1" s="65"/>
    </row>
    <row r="2">
      <c r="A2" s="67" t="s">
        <v>311</v>
      </c>
      <c r="B2" s="68">
        <v>88016.6572</v>
      </c>
      <c r="C2" s="68">
        <v>44935.01</v>
      </c>
      <c r="D2" s="68">
        <v>123823.442</v>
      </c>
      <c r="E2" s="68">
        <v>74540.26</v>
      </c>
      <c r="F2" s="68">
        <v>107649.96</v>
      </c>
      <c r="G2" s="68">
        <v>109002.71</v>
      </c>
      <c r="H2" s="68">
        <v>282439.49</v>
      </c>
      <c r="I2" s="68">
        <v>164205.95</v>
      </c>
      <c r="J2" s="68">
        <v>118243.909</v>
      </c>
      <c r="K2" s="67">
        <v>1112857.388</v>
      </c>
      <c r="L2" s="69">
        <v>0.0988</v>
      </c>
      <c r="M2" s="65"/>
      <c r="N2" s="68">
        <v>9.272080698E7</v>
      </c>
    </row>
    <row r="3">
      <c r="A3" s="67" t="s">
        <v>313</v>
      </c>
      <c r="B3" s="68">
        <v>88016.6572</v>
      </c>
      <c r="C3" s="68">
        <v>44935.02</v>
      </c>
      <c r="D3" s="68">
        <v>123823.442</v>
      </c>
      <c r="E3" s="68">
        <v>74540.15</v>
      </c>
      <c r="F3" s="68">
        <v>107649.96</v>
      </c>
      <c r="G3" s="68">
        <v>109003.02</v>
      </c>
      <c r="H3" s="68">
        <v>282439.49</v>
      </c>
      <c r="I3" s="68">
        <v>165564.02</v>
      </c>
      <c r="J3" s="68">
        <v>118243.909</v>
      </c>
      <c r="K3" s="67">
        <v>1114215.668</v>
      </c>
      <c r="L3" s="69">
        <v>0.0989</v>
      </c>
      <c r="M3" s="65"/>
      <c r="N3" s="65"/>
    </row>
    <row r="4">
      <c r="A4" s="67" t="s">
        <v>314</v>
      </c>
      <c r="B4" s="68">
        <v>87880.2093</v>
      </c>
      <c r="C4" s="68">
        <v>40448.03</v>
      </c>
      <c r="D4" s="68">
        <v>123823.442</v>
      </c>
      <c r="E4" s="68">
        <v>71337.03</v>
      </c>
      <c r="F4" s="68">
        <v>107649.96</v>
      </c>
      <c r="G4" s="68">
        <v>108240.03</v>
      </c>
      <c r="H4" s="68">
        <v>282439.49</v>
      </c>
      <c r="I4" s="68">
        <v>61819.03</v>
      </c>
      <c r="J4" s="68">
        <v>118243.909</v>
      </c>
      <c r="K4" s="67">
        <v>1001881.13</v>
      </c>
      <c r="L4" s="69">
        <v>0.0889</v>
      </c>
      <c r="M4" s="65"/>
      <c r="N4" s="70"/>
    </row>
    <row r="5">
      <c r="A5" s="67" t="s">
        <v>315</v>
      </c>
      <c r="B5" s="68">
        <v>88016.6572</v>
      </c>
      <c r="C5" s="68">
        <v>44935.04</v>
      </c>
      <c r="D5" s="68">
        <v>123823.442</v>
      </c>
      <c r="E5" s="68">
        <v>74540.33</v>
      </c>
      <c r="F5" s="68">
        <v>107649.96</v>
      </c>
      <c r="G5" s="68">
        <v>109003.04</v>
      </c>
      <c r="H5" s="68">
        <v>282439.49</v>
      </c>
      <c r="I5" s="68">
        <v>164205.98</v>
      </c>
      <c r="J5" s="68">
        <v>118243.909</v>
      </c>
      <c r="K5" s="67">
        <v>1112857.848</v>
      </c>
      <c r="L5" s="69">
        <v>0.0988</v>
      </c>
      <c r="M5" s="65"/>
      <c r="N5" s="35"/>
    </row>
    <row r="6">
      <c r="A6" s="67" t="s">
        <v>319</v>
      </c>
      <c r="B6" s="68">
        <v>88016.6572</v>
      </c>
      <c r="C6" s="68">
        <v>44935.05</v>
      </c>
      <c r="D6" s="68">
        <v>123823.442</v>
      </c>
      <c r="E6" s="68">
        <v>74539.94</v>
      </c>
      <c r="F6" s="68">
        <v>107649.96</v>
      </c>
      <c r="G6" s="68">
        <v>109003.05</v>
      </c>
      <c r="H6" s="68">
        <v>282439.49</v>
      </c>
      <c r="I6" s="68">
        <v>164205.99</v>
      </c>
      <c r="J6" s="68">
        <v>118243.909</v>
      </c>
      <c r="K6" s="67">
        <v>1112857.488</v>
      </c>
      <c r="L6" s="69">
        <v>0.0988</v>
      </c>
      <c r="M6" s="65"/>
      <c r="N6" s="65"/>
    </row>
    <row r="7">
      <c r="A7" s="67" t="s">
        <v>320</v>
      </c>
      <c r="B7" s="68">
        <v>52989.3166</v>
      </c>
      <c r="C7" s="68">
        <v>26961.06</v>
      </c>
      <c r="D7" s="68">
        <v>74546.7661</v>
      </c>
      <c r="E7" s="68">
        <v>45518.78</v>
      </c>
      <c r="F7" s="68">
        <v>64809.67</v>
      </c>
      <c r="G7" s="68">
        <v>65402.06</v>
      </c>
      <c r="H7" s="68">
        <v>170040.1</v>
      </c>
      <c r="I7" s="68">
        <v>107536.0</v>
      </c>
      <c r="J7" s="68">
        <v>71187.6595</v>
      </c>
      <c r="K7" s="67">
        <v>678991.4122</v>
      </c>
      <c r="L7" s="69">
        <v>0.0603</v>
      </c>
      <c r="M7" s="65"/>
      <c r="N7" s="65"/>
    </row>
    <row r="8">
      <c r="A8" s="67" t="s">
        <v>321</v>
      </c>
      <c r="B8" s="68">
        <v>88016.6572</v>
      </c>
      <c r="C8" s="68">
        <v>44935.07</v>
      </c>
      <c r="D8" s="68">
        <v>123823.442</v>
      </c>
      <c r="E8" s="68">
        <v>74539.89</v>
      </c>
      <c r="F8" s="68">
        <v>107649.96</v>
      </c>
      <c r="G8" s="68">
        <v>109002.82</v>
      </c>
      <c r="H8" s="68">
        <v>282439.49</v>
      </c>
      <c r="I8" s="68">
        <v>164206.01</v>
      </c>
      <c r="J8" s="68">
        <v>118243.909</v>
      </c>
      <c r="K8" s="67">
        <v>1112857.248</v>
      </c>
      <c r="L8" s="69">
        <v>0.0988</v>
      </c>
      <c r="M8" s="65"/>
      <c r="N8" s="65"/>
    </row>
    <row r="9">
      <c r="A9" s="67" t="s">
        <v>322</v>
      </c>
      <c r="B9" s="68">
        <v>88016.6572</v>
      </c>
      <c r="C9" s="68">
        <v>44935.08</v>
      </c>
      <c r="D9" s="68">
        <v>123823.442</v>
      </c>
      <c r="E9" s="68">
        <v>74539.77</v>
      </c>
      <c r="F9" s="68">
        <v>107649.96</v>
      </c>
      <c r="G9" s="68">
        <v>109003.08</v>
      </c>
      <c r="H9" s="68">
        <v>282439.49</v>
      </c>
      <c r="I9" s="68">
        <v>164206.02</v>
      </c>
      <c r="J9" s="68">
        <v>118243.909</v>
      </c>
      <c r="K9" s="67">
        <v>1112857.408</v>
      </c>
      <c r="L9" s="69">
        <v>0.0988</v>
      </c>
      <c r="M9" s="65"/>
      <c r="N9" s="65"/>
    </row>
    <row r="10">
      <c r="A10" s="67" t="s">
        <v>323</v>
      </c>
      <c r="B10" s="68">
        <v>88016.6572</v>
      </c>
      <c r="C10" s="68">
        <v>44935.09</v>
      </c>
      <c r="D10" s="68">
        <v>123823.442</v>
      </c>
      <c r="E10" s="68">
        <v>74540.07</v>
      </c>
      <c r="F10" s="68">
        <v>107649.96</v>
      </c>
      <c r="G10" s="68">
        <v>109003.09</v>
      </c>
      <c r="H10" s="68">
        <v>282439.49</v>
      </c>
      <c r="I10" s="68">
        <v>164206.03</v>
      </c>
      <c r="J10" s="68">
        <v>118243.909</v>
      </c>
      <c r="K10" s="67">
        <v>1112857.738</v>
      </c>
      <c r="L10" s="69">
        <v>0.0988</v>
      </c>
      <c r="M10" s="65"/>
      <c r="N10" s="65"/>
    </row>
    <row r="11">
      <c r="A11" s="67" t="s">
        <v>324</v>
      </c>
      <c r="B11" s="68">
        <v>88016.6572</v>
      </c>
      <c r="C11" s="68">
        <v>44935.1</v>
      </c>
      <c r="D11" s="68">
        <v>123823.442</v>
      </c>
      <c r="E11" s="68">
        <v>74539.79</v>
      </c>
      <c r="F11" s="68">
        <v>107649.96</v>
      </c>
      <c r="G11" s="68">
        <v>109003.1</v>
      </c>
      <c r="H11" s="68">
        <v>282439.49</v>
      </c>
      <c r="I11" s="68">
        <v>164206.04</v>
      </c>
      <c r="J11" s="68">
        <v>118243.909</v>
      </c>
      <c r="K11" s="67">
        <v>1112857.488</v>
      </c>
      <c r="L11" s="69">
        <v>0.0988</v>
      </c>
      <c r="M11" s="65"/>
      <c r="N11" s="65"/>
    </row>
    <row r="12">
      <c r="A12" s="67" t="s">
        <v>325</v>
      </c>
      <c r="B12" s="68">
        <v>52989.3166</v>
      </c>
      <c r="C12" s="68">
        <v>26961.11</v>
      </c>
      <c r="D12" s="68">
        <v>74546.7661</v>
      </c>
      <c r="E12" s="68">
        <v>45518.71</v>
      </c>
      <c r="F12" s="68">
        <v>64809.67</v>
      </c>
      <c r="G12" s="68">
        <v>65402.11</v>
      </c>
      <c r="H12" s="68">
        <v>170040.1</v>
      </c>
      <c r="I12" s="68">
        <v>107026.05</v>
      </c>
      <c r="J12" s="68">
        <v>71187.6595</v>
      </c>
      <c r="K12" s="67">
        <v>678481.4922</v>
      </c>
      <c r="L12" s="69">
        <v>0.0602</v>
      </c>
      <c r="M12" s="65"/>
      <c r="N12" s="65"/>
    </row>
    <row r="13">
      <c r="A13" s="67" t="s">
        <v>326</v>
      </c>
      <c r="B13" s="65"/>
      <c r="C13" s="68">
        <v>23887.04</v>
      </c>
      <c r="D13" s="65"/>
      <c r="E13" s="68">
        <v>23943.9</v>
      </c>
      <c r="F13" s="65"/>
      <c r="G13" s="68">
        <v>57204.06</v>
      </c>
      <c r="H13" s="65"/>
      <c r="I13" s="68">
        <v>83391.13</v>
      </c>
      <c r="J13" s="65"/>
      <c r="K13" s="67">
        <v>188426.1179</v>
      </c>
      <c r="L13" s="65"/>
      <c r="M13" s="65"/>
      <c r="N13" s="65"/>
    </row>
    <row r="14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8">
        <v>1.1451998E7</v>
      </c>
      <c r="M14" s="65"/>
      <c r="N14" s="65"/>
    </row>
    <row r="15">
      <c r="A15" s="65"/>
      <c r="B15" s="66" t="s">
        <v>327</v>
      </c>
      <c r="C15" s="66" t="s">
        <v>328</v>
      </c>
      <c r="D15" s="66" t="s">
        <v>329</v>
      </c>
      <c r="E15" s="66" t="s">
        <v>330</v>
      </c>
      <c r="F15" s="66" t="s">
        <v>331</v>
      </c>
      <c r="G15" s="66" t="s">
        <v>332</v>
      </c>
      <c r="H15" s="65"/>
      <c r="I15" s="65"/>
      <c r="J15" s="65"/>
      <c r="K15" s="65"/>
      <c r="L15" s="65"/>
      <c r="M15" s="65"/>
      <c r="N15" s="65"/>
    </row>
    <row r="16">
      <c r="A16" s="67" t="s">
        <v>311</v>
      </c>
      <c r="B16" s="71">
        <v>81208.36</v>
      </c>
      <c r="C16" s="68">
        <v>284965.11</v>
      </c>
      <c r="D16" s="34">
        <v>204183.1</v>
      </c>
      <c r="E16" s="68">
        <v>63725.01</v>
      </c>
      <c r="F16" s="34">
        <v>124233.17</v>
      </c>
      <c r="G16" s="72">
        <v>178075.01</v>
      </c>
      <c r="H16" s="71">
        <v>936389.76</v>
      </c>
      <c r="I16" s="69">
        <v>0.0987</v>
      </c>
      <c r="J16" s="65"/>
      <c r="K16" s="65"/>
      <c r="L16" s="65"/>
      <c r="M16" s="65"/>
      <c r="N16" s="65"/>
    </row>
    <row r="17">
      <c r="A17" s="67" t="s">
        <v>313</v>
      </c>
      <c r="B17" s="71">
        <v>81208.36</v>
      </c>
      <c r="C17" s="68">
        <v>284935.02</v>
      </c>
      <c r="D17" s="34">
        <v>204183.1</v>
      </c>
      <c r="E17" s="68">
        <v>63715.02</v>
      </c>
      <c r="F17" s="34">
        <v>124233.17</v>
      </c>
      <c r="G17" s="72">
        <v>177085.02</v>
      </c>
      <c r="H17" s="71">
        <v>935359.69</v>
      </c>
      <c r="I17" s="69">
        <v>0.0986</v>
      </c>
      <c r="J17" s="65"/>
      <c r="K17" s="65"/>
      <c r="L17" s="65"/>
      <c r="M17" s="65"/>
      <c r="N17" s="65"/>
    </row>
    <row r="18">
      <c r="A18" s="67" t="s">
        <v>314</v>
      </c>
      <c r="B18" s="71">
        <v>81208.36</v>
      </c>
      <c r="C18" s="68">
        <v>114823.03</v>
      </c>
      <c r="D18" s="34">
        <v>204183.1</v>
      </c>
      <c r="E18" s="68">
        <v>64579.03</v>
      </c>
      <c r="F18" s="34">
        <v>124233.17</v>
      </c>
      <c r="G18" s="72">
        <v>168582.03</v>
      </c>
      <c r="H18" s="71">
        <v>757608.72</v>
      </c>
      <c r="I18" s="69">
        <v>0.0799</v>
      </c>
      <c r="J18" s="65"/>
      <c r="K18" s="65"/>
      <c r="L18" s="65"/>
      <c r="M18" s="65"/>
      <c r="N18" s="65"/>
    </row>
    <row r="19">
      <c r="A19" s="67" t="s">
        <v>315</v>
      </c>
      <c r="B19" s="71">
        <v>81208.36</v>
      </c>
      <c r="C19" s="68">
        <v>284964.84</v>
      </c>
      <c r="D19" s="34">
        <v>204183.1</v>
      </c>
      <c r="E19" s="68">
        <v>63725.26</v>
      </c>
      <c r="F19" s="34">
        <v>124233.17</v>
      </c>
      <c r="G19" s="72">
        <v>178075.46</v>
      </c>
      <c r="H19" s="71">
        <v>936390.19</v>
      </c>
      <c r="I19" s="69">
        <v>0.0987</v>
      </c>
      <c r="J19" s="65"/>
      <c r="K19" s="65"/>
      <c r="L19" s="65"/>
      <c r="M19" s="65"/>
      <c r="N19" s="65"/>
    </row>
    <row r="20">
      <c r="A20" s="67" t="s">
        <v>319</v>
      </c>
      <c r="B20" s="71">
        <v>81208.36</v>
      </c>
      <c r="C20" s="68">
        <v>284965.09</v>
      </c>
      <c r="D20" s="34">
        <v>204183.1</v>
      </c>
      <c r="E20" s="68">
        <v>63725.05</v>
      </c>
      <c r="F20" s="34">
        <v>124233.17</v>
      </c>
      <c r="G20" s="72">
        <v>178075.05</v>
      </c>
      <c r="H20" s="71">
        <v>936389.82</v>
      </c>
      <c r="I20" s="69">
        <v>0.0987</v>
      </c>
      <c r="J20" s="65"/>
      <c r="K20" s="65"/>
      <c r="L20" s="65"/>
      <c r="M20" s="65"/>
      <c r="N20" s="65"/>
    </row>
    <row r="21">
      <c r="A21" s="67" t="s">
        <v>320</v>
      </c>
      <c r="B21" s="71">
        <v>48890.75</v>
      </c>
      <c r="C21" s="68">
        <v>179831.93</v>
      </c>
      <c r="D21" s="34">
        <v>168521.73</v>
      </c>
      <c r="E21" s="68">
        <v>38149.06</v>
      </c>
      <c r="F21" s="34">
        <v>75510.37</v>
      </c>
      <c r="G21" s="72">
        <v>107861.06</v>
      </c>
      <c r="H21" s="71">
        <v>618764.9</v>
      </c>
      <c r="I21" s="69">
        <v>0.0652</v>
      </c>
      <c r="J21" s="65"/>
      <c r="K21" s="65"/>
      <c r="L21" s="65"/>
      <c r="M21" s="65"/>
      <c r="N21" s="65"/>
    </row>
    <row r="22">
      <c r="A22" s="67" t="s">
        <v>321</v>
      </c>
      <c r="B22" s="71">
        <v>81208.36</v>
      </c>
      <c r="C22" s="68">
        <v>284965.03</v>
      </c>
      <c r="D22" s="34">
        <v>204183.1</v>
      </c>
      <c r="E22" s="68">
        <v>63725.83</v>
      </c>
      <c r="F22" s="34">
        <v>124233.17</v>
      </c>
      <c r="G22" s="72">
        <v>178075.07</v>
      </c>
      <c r="H22" s="71">
        <v>936390.56</v>
      </c>
      <c r="I22" s="69">
        <v>0.0987</v>
      </c>
      <c r="J22" s="65"/>
      <c r="K22" s="65"/>
      <c r="L22" s="65"/>
      <c r="M22" s="65"/>
      <c r="N22" s="65"/>
    </row>
    <row r="23">
      <c r="A23" s="67" t="s">
        <v>322</v>
      </c>
      <c r="B23" s="71">
        <v>81208.36</v>
      </c>
      <c r="C23" s="68">
        <v>284964.92</v>
      </c>
      <c r="D23" s="34">
        <v>204183.1</v>
      </c>
      <c r="E23" s="68">
        <v>63725.08</v>
      </c>
      <c r="F23" s="34">
        <v>124233.17</v>
      </c>
      <c r="G23" s="72">
        <v>178075.08</v>
      </c>
      <c r="H23" s="71">
        <v>936389.71</v>
      </c>
      <c r="I23" s="69">
        <v>0.0987</v>
      </c>
      <c r="J23" s="65"/>
      <c r="K23" s="65"/>
      <c r="L23" s="65"/>
      <c r="M23" s="65"/>
      <c r="N23" s="65"/>
    </row>
    <row r="24">
      <c r="A24" s="67" t="s">
        <v>323</v>
      </c>
      <c r="B24" s="71">
        <v>81208.36</v>
      </c>
      <c r="C24" s="68">
        <v>284965.22</v>
      </c>
      <c r="D24" s="73">
        <v>204183.1</v>
      </c>
      <c r="E24" s="68">
        <v>63725.09</v>
      </c>
      <c r="F24" s="34">
        <v>124233.17</v>
      </c>
      <c r="G24" s="72">
        <v>178075.09</v>
      </c>
      <c r="H24" s="71">
        <v>936390.03</v>
      </c>
      <c r="I24" s="69">
        <v>0.0987</v>
      </c>
      <c r="J24" s="65"/>
      <c r="K24" s="65"/>
      <c r="L24" s="65"/>
      <c r="M24" s="65"/>
      <c r="N24" s="65"/>
    </row>
    <row r="25">
      <c r="A25" s="67" t="s">
        <v>324</v>
      </c>
      <c r="B25" s="71">
        <v>81208.36</v>
      </c>
      <c r="C25" s="68">
        <v>284964.94</v>
      </c>
      <c r="D25" s="34">
        <v>204183.1</v>
      </c>
      <c r="E25" s="68">
        <v>63725.1</v>
      </c>
      <c r="F25" s="34">
        <v>124233.17</v>
      </c>
      <c r="G25" s="72">
        <v>178075.1</v>
      </c>
      <c r="H25" s="71">
        <v>936389.77</v>
      </c>
      <c r="I25" s="69">
        <v>0.0987</v>
      </c>
      <c r="J25" s="65"/>
      <c r="K25" s="65"/>
      <c r="L25" s="65"/>
      <c r="M25" s="65"/>
      <c r="N25" s="65"/>
    </row>
    <row r="26">
      <c r="A26" s="67" t="s">
        <v>325</v>
      </c>
      <c r="B26" s="71">
        <v>48890.75</v>
      </c>
      <c r="C26" s="68">
        <v>179843.1</v>
      </c>
      <c r="D26" s="73">
        <v>168521.73</v>
      </c>
      <c r="E26" s="68">
        <v>38152.11</v>
      </c>
      <c r="F26" s="34">
        <v>75510.37</v>
      </c>
      <c r="G26" s="72">
        <v>107861.11</v>
      </c>
      <c r="H26" s="71">
        <v>618779.17</v>
      </c>
      <c r="I26" s="69">
        <v>0.0652</v>
      </c>
      <c r="J26" s="65"/>
      <c r="K26" s="65"/>
      <c r="L26" s="65"/>
      <c r="M26" s="65"/>
      <c r="N26" s="65"/>
    </row>
    <row r="27">
      <c r="A27" s="67" t="s">
        <v>326</v>
      </c>
      <c r="B27" s="65"/>
      <c r="C27" s="68">
        <v>130401.24</v>
      </c>
      <c r="D27" s="65"/>
      <c r="E27" s="68">
        <v>33704.61</v>
      </c>
      <c r="F27" s="35"/>
      <c r="G27" s="68">
        <v>94697.34</v>
      </c>
      <c r="H27" s="68">
        <v>258803.19</v>
      </c>
      <c r="I27" s="65"/>
      <c r="J27" s="65"/>
      <c r="K27" s="65"/>
      <c r="L27" s="65"/>
      <c r="M27" s="65"/>
      <c r="N27" s="65"/>
    </row>
    <row r="28">
      <c r="A28" s="65"/>
      <c r="B28" s="65"/>
      <c r="C28" s="65"/>
      <c r="D28" s="65"/>
      <c r="E28" s="65"/>
      <c r="F28" s="65"/>
      <c r="G28" s="65"/>
      <c r="H28" s="65"/>
      <c r="I28" s="65"/>
      <c r="J28" s="71">
        <v>9744045.51</v>
      </c>
      <c r="K28" s="65"/>
      <c r="L28" s="65"/>
      <c r="M28" s="65"/>
      <c r="N28" s="65"/>
    </row>
    <row r="29">
      <c r="A29" s="65"/>
      <c r="B29" s="65"/>
      <c r="C29" s="65"/>
      <c r="D29" s="35"/>
      <c r="E29" s="65"/>
      <c r="F29" s="65"/>
      <c r="G29" s="65"/>
      <c r="H29" s="65"/>
      <c r="I29" s="65"/>
      <c r="J29" s="65"/>
      <c r="K29" s="65"/>
      <c r="L29" s="65"/>
      <c r="M29" s="65"/>
      <c r="N29" s="65"/>
    </row>
    <row r="30">
      <c r="A30" s="74"/>
      <c r="B30" s="66" t="s">
        <v>337</v>
      </c>
      <c r="C30" s="66" t="s">
        <v>338</v>
      </c>
      <c r="D30" s="66" t="s">
        <v>339</v>
      </c>
      <c r="E30" s="66" t="s">
        <v>340</v>
      </c>
      <c r="F30" s="66" t="s">
        <v>341</v>
      </c>
      <c r="G30" s="66" t="s">
        <v>342</v>
      </c>
      <c r="H30" s="66" t="s">
        <v>343</v>
      </c>
      <c r="I30" s="66" t="s">
        <v>57</v>
      </c>
      <c r="J30" s="65"/>
      <c r="K30" s="65"/>
      <c r="L30" s="65"/>
      <c r="M30" s="65"/>
      <c r="N30" s="65"/>
    </row>
    <row r="31">
      <c r="A31" s="67" t="s">
        <v>311</v>
      </c>
      <c r="B31" s="68">
        <v>135754.98</v>
      </c>
      <c r="C31" s="68">
        <v>88667.92</v>
      </c>
      <c r="D31" s="68">
        <v>253142.4</v>
      </c>
      <c r="E31" s="68">
        <v>61396.28</v>
      </c>
      <c r="F31" s="68">
        <v>84852.4011</v>
      </c>
      <c r="G31" s="68">
        <v>141119.95</v>
      </c>
      <c r="H31" s="68">
        <v>151706.43</v>
      </c>
      <c r="I31" s="68">
        <v>55806.01</v>
      </c>
      <c r="J31" s="68">
        <v>972446.37</v>
      </c>
      <c r="K31" s="69">
        <v>0.0978</v>
      </c>
      <c r="L31" s="65"/>
      <c r="M31" s="65"/>
      <c r="N31" s="65"/>
    </row>
    <row r="32">
      <c r="A32" s="67" t="s">
        <v>313</v>
      </c>
      <c r="B32" s="68">
        <v>135754.98</v>
      </c>
      <c r="C32" s="68">
        <v>88732.15</v>
      </c>
      <c r="D32" s="68">
        <v>253142.4</v>
      </c>
      <c r="E32" s="68">
        <v>61392.02</v>
      </c>
      <c r="F32" s="68">
        <v>84852.4011</v>
      </c>
      <c r="G32" s="68">
        <v>141120.02</v>
      </c>
      <c r="H32" s="68">
        <v>151706.43</v>
      </c>
      <c r="I32" s="68">
        <v>55778.02</v>
      </c>
      <c r="J32" s="68">
        <v>972478.42</v>
      </c>
      <c r="K32" s="69">
        <v>0.0978</v>
      </c>
      <c r="L32" s="65"/>
      <c r="M32" s="65"/>
      <c r="N32" s="65"/>
    </row>
    <row r="33">
      <c r="A33" s="67" t="s">
        <v>314</v>
      </c>
      <c r="B33" s="68">
        <v>135754.98</v>
      </c>
      <c r="C33" s="68">
        <v>93245.03</v>
      </c>
      <c r="D33" s="68">
        <v>253102.05</v>
      </c>
      <c r="E33" s="68">
        <v>61748.03</v>
      </c>
      <c r="F33" s="68">
        <v>84852.4011</v>
      </c>
      <c r="G33" s="68">
        <v>132193.03</v>
      </c>
      <c r="H33" s="68">
        <v>151702.28</v>
      </c>
      <c r="I33" s="68">
        <v>57448.03</v>
      </c>
      <c r="J33" s="68">
        <v>970045.83</v>
      </c>
      <c r="K33" s="69">
        <v>0.0975</v>
      </c>
      <c r="L33" s="65"/>
      <c r="M33" s="65"/>
      <c r="N33" s="65"/>
    </row>
    <row r="34">
      <c r="A34" s="67" t="s">
        <v>315</v>
      </c>
      <c r="B34" s="68">
        <v>135754.98</v>
      </c>
      <c r="C34" s="68">
        <v>88667.85</v>
      </c>
      <c r="D34" s="68">
        <v>253142.4</v>
      </c>
      <c r="E34" s="68">
        <v>61396.04</v>
      </c>
      <c r="F34" s="68">
        <v>84852.4011</v>
      </c>
      <c r="G34" s="68">
        <v>141119.98</v>
      </c>
      <c r="H34" s="68">
        <v>151706.43</v>
      </c>
      <c r="I34" s="68">
        <v>55806.04</v>
      </c>
      <c r="J34" s="68">
        <v>972446.12</v>
      </c>
      <c r="K34" s="69">
        <v>0.0978</v>
      </c>
      <c r="L34" s="65"/>
      <c r="M34" s="65"/>
      <c r="N34" s="65"/>
    </row>
    <row r="35">
      <c r="A35" s="67" t="s">
        <v>319</v>
      </c>
      <c r="B35" s="68">
        <v>135754.98</v>
      </c>
      <c r="C35" s="68">
        <v>88667.24</v>
      </c>
      <c r="D35" s="68">
        <v>253142.4</v>
      </c>
      <c r="E35" s="68">
        <v>61396.25</v>
      </c>
      <c r="F35" s="68">
        <v>84852.4011</v>
      </c>
      <c r="G35" s="68">
        <v>141119.99</v>
      </c>
      <c r="H35" s="68">
        <v>151706.43</v>
      </c>
      <c r="I35" s="68">
        <v>55806.05</v>
      </c>
      <c r="J35" s="68">
        <v>972445.74</v>
      </c>
      <c r="K35" s="69">
        <v>0.0978</v>
      </c>
      <c r="L35" s="65"/>
      <c r="M35" s="65"/>
      <c r="N35" s="65"/>
    </row>
    <row r="36">
      <c r="A36" s="67" t="s">
        <v>320</v>
      </c>
      <c r="B36" s="68">
        <v>81730.04</v>
      </c>
      <c r="C36" s="68">
        <v>51415.25</v>
      </c>
      <c r="D36" s="68">
        <v>160862.77</v>
      </c>
      <c r="E36" s="68">
        <v>36802.09</v>
      </c>
      <c r="F36" s="68">
        <v>53666.6219</v>
      </c>
      <c r="G36" s="68">
        <v>86207.0</v>
      </c>
      <c r="H36" s="68">
        <v>93700.0</v>
      </c>
      <c r="I36" s="68">
        <v>33847.06</v>
      </c>
      <c r="J36" s="68">
        <v>598230.83</v>
      </c>
      <c r="K36" s="69">
        <v>0.0601</v>
      </c>
      <c r="L36" s="65"/>
      <c r="M36" s="65"/>
      <c r="N36" s="65"/>
    </row>
    <row r="37">
      <c r="A37" s="67" t="s">
        <v>321</v>
      </c>
      <c r="B37" s="68">
        <v>135754.98</v>
      </c>
      <c r="C37" s="68">
        <v>88667.26</v>
      </c>
      <c r="D37" s="68">
        <v>253142.4</v>
      </c>
      <c r="E37" s="68">
        <v>61396.66</v>
      </c>
      <c r="F37" s="68">
        <v>84852.4011</v>
      </c>
      <c r="G37" s="68">
        <v>141120.05</v>
      </c>
      <c r="H37" s="68">
        <v>151706.43</v>
      </c>
      <c r="I37" s="68">
        <v>55806.32</v>
      </c>
      <c r="J37" s="68">
        <v>972446.5</v>
      </c>
      <c r="K37" s="69">
        <v>0.0978</v>
      </c>
      <c r="L37" s="65"/>
      <c r="M37" s="65"/>
      <c r="N37" s="65"/>
    </row>
    <row r="38">
      <c r="A38" s="67" t="s">
        <v>322</v>
      </c>
      <c r="B38" s="68">
        <v>135754.98</v>
      </c>
      <c r="C38" s="68">
        <v>88667.27</v>
      </c>
      <c r="D38" s="68">
        <v>253142.4</v>
      </c>
      <c r="E38" s="68">
        <v>61397.08</v>
      </c>
      <c r="F38" s="68">
        <v>84852.4011</v>
      </c>
      <c r="G38" s="68">
        <v>141120.02</v>
      </c>
      <c r="H38" s="68">
        <v>151706.43</v>
      </c>
      <c r="I38" s="68">
        <v>55806.08</v>
      </c>
      <c r="J38" s="68">
        <v>972446.66</v>
      </c>
      <c r="K38" s="69">
        <v>0.0978</v>
      </c>
      <c r="L38" s="65"/>
      <c r="M38" s="65"/>
      <c r="N38" s="65"/>
    </row>
    <row r="39">
      <c r="A39" s="67" t="s">
        <v>323</v>
      </c>
      <c r="B39" s="68">
        <v>135754.98</v>
      </c>
      <c r="C39" s="68">
        <v>88667.28</v>
      </c>
      <c r="D39" s="68">
        <v>253142.4</v>
      </c>
      <c r="E39" s="68">
        <v>61396.38</v>
      </c>
      <c r="F39" s="68">
        <v>84852.4011</v>
      </c>
      <c r="G39" s="68">
        <v>141120.03</v>
      </c>
      <c r="H39" s="68">
        <v>151706.43</v>
      </c>
      <c r="I39" s="68">
        <v>55806.09</v>
      </c>
      <c r="J39" s="68">
        <v>972445.99</v>
      </c>
      <c r="K39" s="69">
        <v>0.0978</v>
      </c>
      <c r="L39" s="65"/>
      <c r="M39" s="65"/>
      <c r="N39" s="65"/>
    </row>
    <row r="40">
      <c r="A40" s="67" t="s">
        <v>324</v>
      </c>
      <c r="B40" s="68">
        <v>135754.98</v>
      </c>
      <c r="C40" s="68">
        <v>88667.29</v>
      </c>
      <c r="D40" s="68">
        <v>253142.4</v>
      </c>
      <c r="E40" s="68">
        <v>61397.1</v>
      </c>
      <c r="F40" s="68">
        <v>84852.4011</v>
      </c>
      <c r="G40" s="68">
        <v>141120.04</v>
      </c>
      <c r="H40" s="68">
        <v>151706.43</v>
      </c>
      <c r="I40" s="68">
        <v>55806.1</v>
      </c>
      <c r="J40" s="68">
        <v>972446.74</v>
      </c>
      <c r="K40" s="69">
        <v>0.0978</v>
      </c>
      <c r="L40" s="65"/>
      <c r="M40" s="65"/>
      <c r="N40" s="65"/>
    </row>
    <row r="41">
      <c r="A41" s="67" t="s">
        <v>325</v>
      </c>
      <c r="B41" s="68">
        <v>81730.04</v>
      </c>
      <c r="C41" s="68">
        <v>51414.3</v>
      </c>
      <c r="D41" s="68">
        <v>160862.77</v>
      </c>
      <c r="E41" s="68">
        <v>36804.11</v>
      </c>
      <c r="F41" s="68">
        <v>53666.6219</v>
      </c>
      <c r="G41" s="68">
        <v>86207.05</v>
      </c>
      <c r="H41" s="68">
        <v>93700.0</v>
      </c>
      <c r="I41" s="68">
        <v>33857.11</v>
      </c>
      <c r="J41" s="68">
        <v>598242.0</v>
      </c>
      <c r="K41" s="69">
        <v>0.0601</v>
      </c>
      <c r="L41" s="65"/>
      <c r="M41" s="65"/>
      <c r="N41" s="65"/>
    </row>
    <row r="42">
      <c r="A42" s="67" t="s">
        <v>326</v>
      </c>
      <c r="B42" s="65"/>
      <c r="C42" s="68">
        <v>29155.05</v>
      </c>
      <c r="D42" s="65"/>
      <c r="E42" s="68">
        <v>29502.635</v>
      </c>
      <c r="F42" s="65"/>
      <c r="G42" s="68">
        <v>73555.035</v>
      </c>
      <c r="H42" s="65"/>
      <c r="I42" s="68">
        <v>27541.52</v>
      </c>
      <c r="J42" s="68">
        <v>159754.24</v>
      </c>
      <c r="K42" s="65"/>
      <c r="L42" s="65"/>
      <c r="M42" s="65"/>
      <c r="N42" s="65"/>
    </row>
    <row r="43">
      <c r="A43" s="65"/>
      <c r="B43" s="65"/>
      <c r="C43" s="65"/>
      <c r="D43" s="35"/>
      <c r="E43" s="65"/>
      <c r="F43" s="65"/>
      <c r="G43" s="65"/>
      <c r="H43" s="65"/>
      <c r="I43" s="65"/>
      <c r="J43" s="68">
        <v>1.010587545E7</v>
      </c>
      <c r="K43" s="65"/>
      <c r="L43" s="65"/>
      <c r="M43" s="65"/>
      <c r="N43" s="65"/>
    </row>
    <row r="44">
      <c r="A44" s="74"/>
      <c r="B44" s="65"/>
      <c r="C44" s="65"/>
      <c r="D44" s="35"/>
      <c r="E44" s="35"/>
      <c r="F44" s="65"/>
      <c r="G44" s="65"/>
      <c r="H44" s="65"/>
      <c r="I44" s="65"/>
      <c r="J44" s="65"/>
      <c r="K44" s="65"/>
      <c r="L44" s="65"/>
      <c r="M44" s="65"/>
      <c r="N44" s="65"/>
    </row>
    <row r="45">
      <c r="A45" s="74"/>
      <c r="B45" s="66" t="s">
        <v>344</v>
      </c>
      <c r="C45" s="66" t="s">
        <v>345</v>
      </c>
      <c r="D45" s="66" t="s">
        <v>346</v>
      </c>
      <c r="E45" s="66" t="s">
        <v>347</v>
      </c>
      <c r="F45" s="66" t="s">
        <v>348</v>
      </c>
      <c r="G45" s="66" t="s">
        <v>66</v>
      </c>
      <c r="H45" s="65"/>
      <c r="I45" s="65"/>
      <c r="J45" s="65"/>
      <c r="K45" s="65"/>
      <c r="L45" s="65"/>
      <c r="M45" s="65"/>
      <c r="N45" s="65"/>
    </row>
    <row r="46">
      <c r="A46" s="67" t="s">
        <v>311</v>
      </c>
      <c r="B46" s="68">
        <v>119605.01</v>
      </c>
      <c r="C46" s="34">
        <v>55863.38</v>
      </c>
      <c r="D46" s="34">
        <v>317377.702</v>
      </c>
      <c r="E46" s="68">
        <v>42865.59</v>
      </c>
      <c r="F46" s="68">
        <v>231212.49</v>
      </c>
      <c r="G46" s="68">
        <v>10695.44</v>
      </c>
      <c r="H46" s="68">
        <v>777619.61</v>
      </c>
      <c r="I46" s="69">
        <v>0.0963</v>
      </c>
      <c r="J46" s="65"/>
      <c r="K46" s="65"/>
      <c r="L46" s="65"/>
      <c r="M46" s="65"/>
      <c r="N46" s="65"/>
    </row>
    <row r="47">
      <c r="A47" s="67" t="s">
        <v>313</v>
      </c>
      <c r="B47" s="68">
        <v>119604.15</v>
      </c>
      <c r="C47" s="34">
        <v>55863.38</v>
      </c>
      <c r="D47" s="34">
        <v>317377.702</v>
      </c>
      <c r="E47" s="68">
        <v>42865.59</v>
      </c>
      <c r="F47" s="68">
        <v>231211.02</v>
      </c>
      <c r="G47" s="68">
        <v>10695.44</v>
      </c>
      <c r="H47" s="68">
        <v>777617.28</v>
      </c>
      <c r="I47" s="69">
        <v>0.0963</v>
      </c>
      <c r="J47" s="65"/>
      <c r="K47" s="65"/>
      <c r="L47" s="65"/>
      <c r="M47" s="65"/>
      <c r="N47" s="65"/>
    </row>
    <row r="48">
      <c r="A48" s="67" t="s">
        <v>314</v>
      </c>
      <c r="B48" s="68">
        <v>119086.03</v>
      </c>
      <c r="C48" s="34">
        <v>55863.38</v>
      </c>
      <c r="D48" s="34">
        <v>317396.355</v>
      </c>
      <c r="E48" s="68">
        <v>42894.08</v>
      </c>
      <c r="F48" s="68">
        <v>220938.03</v>
      </c>
      <c r="G48" s="68">
        <v>10697.19</v>
      </c>
      <c r="H48" s="68">
        <v>766875.07</v>
      </c>
      <c r="I48" s="69">
        <v>0.0949</v>
      </c>
      <c r="J48" s="65"/>
      <c r="K48" s="65"/>
      <c r="L48" s="65"/>
      <c r="M48" s="65"/>
      <c r="N48" s="65"/>
    </row>
    <row r="49">
      <c r="A49" s="67" t="s">
        <v>315</v>
      </c>
      <c r="B49" s="68">
        <v>119605.04</v>
      </c>
      <c r="C49" s="34">
        <v>55863.38</v>
      </c>
      <c r="D49" s="34">
        <v>317377.702</v>
      </c>
      <c r="E49" s="68">
        <v>42865.59</v>
      </c>
      <c r="F49" s="68">
        <v>231212.96</v>
      </c>
      <c r="G49" s="68">
        <v>10695.44</v>
      </c>
      <c r="H49" s="68">
        <v>777620.11</v>
      </c>
      <c r="I49" s="69">
        <v>0.0963</v>
      </c>
      <c r="J49" s="65"/>
      <c r="K49" s="65"/>
      <c r="L49" s="65"/>
      <c r="M49" s="65"/>
      <c r="N49" s="65"/>
    </row>
    <row r="50">
      <c r="A50" s="67" t="s">
        <v>319</v>
      </c>
      <c r="B50" s="68">
        <v>119605.05</v>
      </c>
      <c r="C50" s="34">
        <v>55863.38</v>
      </c>
      <c r="D50" s="34">
        <v>317377.702</v>
      </c>
      <c r="E50" s="68">
        <v>42865.59</v>
      </c>
      <c r="F50" s="68">
        <v>231213.23</v>
      </c>
      <c r="G50" s="68">
        <v>10695.44</v>
      </c>
      <c r="H50" s="68">
        <v>777620.39</v>
      </c>
      <c r="I50" s="69">
        <v>0.0963</v>
      </c>
      <c r="J50" s="65"/>
      <c r="K50" s="65"/>
      <c r="L50" s="65"/>
      <c r="M50" s="65"/>
      <c r="N50" s="65"/>
    </row>
    <row r="51">
      <c r="A51" s="67" t="s">
        <v>320</v>
      </c>
      <c r="B51" s="68">
        <v>76759.06</v>
      </c>
      <c r="C51" s="34">
        <v>36188.76</v>
      </c>
      <c r="D51" s="34">
        <v>235140.561</v>
      </c>
      <c r="E51" s="68">
        <v>39760.22</v>
      </c>
      <c r="F51" s="68">
        <v>148952.81</v>
      </c>
      <c r="G51" s="68">
        <v>7913.77</v>
      </c>
      <c r="H51" s="68">
        <v>544715.18</v>
      </c>
      <c r="I51" s="69">
        <v>0.0674</v>
      </c>
      <c r="J51" s="65"/>
      <c r="K51" s="65"/>
      <c r="L51" s="65"/>
      <c r="M51" s="65"/>
      <c r="N51" s="65"/>
    </row>
    <row r="52">
      <c r="A52" s="67" t="s">
        <v>321</v>
      </c>
      <c r="B52" s="68">
        <v>119605.07</v>
      </c>
      <c r="C52" s="34">
        <v>55863.38</v>
      </c>
      <c r="D52" s="34">
        <v>317377.702</v>
      </c>
      <c r="E52" s="68">
        <v>42865.59</v>
      </c>
      <c r="F52" s="68">
        <v>231212.86</v>
      </c>
      <c r="G52" s="68">
        <v>10695.44</v>
      </c>
      <c r="H52" s="68">
        <v>777620.04</v>
      </c>
      <c r="I52" s="69">
        <v>0.0963</v>
      </c>
      <c r="J52" s="65"/>
      <c r="K52" s="65"/>
      <c r="L52" s="65"/>
      <c r="M52" s="65"/>
      <c r="N52" s="65"/>
    </row>
    <row r="53">
      <c r="A53" s="67" t="s">
        <v>322</v>
      </c>
      <c r="B53" s="68">
        <v>119604.08</v>
      </c>
      <c r="C53" s="34">
        <v>55863.38</v>
      </c>
      <c r="D53" s="34">
        <v>317377.702</v>
      </c>
      <c r="E53" s="68">
        <v>42865.59</v>
      </c>
      <c r="F53" s="68">
        <v>231212.8</v>
      </c>
      <c r="G53" s="68">
        <v>10695.44</v>
      </c>
      <c r="H53" s="68">
        <v>777618.99</v>
      </c>
      <c r="I53" s="69">
        <v>0.0963</v>
      </c>
      <c r="J53" s="65"/>
      <c r="K53" s="65"/>
      <c r="L53" s="65"/>
      <c r="M53" s="65"/>
      <c r="N53" s="65"/>
    </row>
    <row r="54">
      <c r="A54" s="67" t="s">
        <v>323</v>
      </c>
      <c r="B54" s="68">
        <v>119604.38</v>
      </c>
      <c r="C54" s="34">
        <v>55863.38</v>
      </c>
      <c r="D54" s="34">
        <v>317377.702</v>
      </c>
      <c r="E54" s="68">
        <v>42865.59</v>
      </c>
      <c r="F54" s="68">
        <v>231213.28</v>
      </c>
      <c r="G54" s="68">
        <v>10695.44</v>
      </c>
      <c r="H54" s="68">
        <v>777619.77</v>
      </c>
      <c r="I54" s="69">
        <v>0.0963</v>
      </c>
      <c r="J54" s="65"/>
      <c r="K54" s="65"/>
      <c r="L54" s="65"/>
      <c r="M54" s="65"/>
      <c r="N54" s="65"/>
    </row>
    <row r="55">
      <c r="A55" s="67" t="s">
        <v>324</v>
      </c>
      <c r="B55" s="68">
        <v>119604.1</v>
      </c>
      <c r="C55" s="34">
        <v>55863.38</v>
      </c>
      <c r="D55" s="68">
        <v>317377.702</v>
      </c>
      <c r="E55" s="68">
        <v>42865.59</v>
      </c>
      <c r="F55" s="68">
        <v>231212.82</v>
      </c>
      <c r="G55" s="68">
        <v>10695.44</v>
      </c>
      <c r="H55" s="68">
        <v>777619.03</v>
      </c>
      <c r="I55" s="69">
        <v>0.0963</v>
      </c>
      <c r="J55" s="65"/>
      <c r="K55" s="65"/>
      <c r="L55" s="65"/>
      <c r="M55" s="65"/>
      <c r="N55" s="65"/>
    </row>
    <row r="56">
      <c r="A56" s="67" t="s">
        <v>325</v>
      </c>
      <c r="B56" s="68">
        <v>76759.52</v>
      </c>
      <c r="C56" s="68">
        <v>36188.76</v>
      </c>
      <c r="D56" s="68">
        <v>235140.561</v>
      </c>
      <c r="E56" s="34">
        <v>39760.22</v>
      </c>
      <c r="F56" s="68">
        <v>148951.83</v>
      </c>
      <c r="G56" s="68">
        <v>7913.77</v>
      </c>
      <c r="H56" s="68">
        <v>544714.66</v>
      </c>
      <c r="I56" s="69">
        <v>0.0674</v>
      </c>
      <c r="J56" s="65"/>
      <c r="K56" s="65"/>
      <c r="L56" s="65"/>
      <c r="M56" s="65"/>
      <c r="N56" s="65"/>
    </row>
    <row r="57">
      <c r="A57" s="67" t="s">
        <v>326</v>
      </c>
      <c r="B57" s="65"/>
      <c r="C57" s="68">
        <v>49841.6304</v>
      </c>
      <c r="D57" s="65"/>
      <c r="E57" s="65"/>
      <c r="F57" s="65"/>
      <c r="G57" s="65"/>
      <c r="H57" s="68">
        <v>49841.6304</v>
      </c>
      <c r="I57" s="65"/>
      <c r="J57" s="65"/>
      <c r="K57" s="65"/>
      <c r="L57" s="65"/>
      <c r="M57" s="65"/>
      <c r="N57" s="65"/>
    </row>
    <row r="58">
      <c r="A58" s="65"/>
      <c r="B58" s="65"/>
      <c r="C58" s="65"/>
      <c r="D58" s="35"/>
      <c r="E58" s="65"/>
      <c r="F58" s="65"/>
      <c r="G58" s="65"/>
      <c r="H58" s="68">
        <v>8127101.78</v>
      </c>
      <c r="I58" s="65"/>
      <c r="J58" s="65"/>
      <c r="K58" s="65"/>
      <c r="L58" s="65"/>
      <c r="M58" s="65"/>
      <c r="N58" s="65"/>
    </row>
    <row r="59">
      <c r="A59" s="74"/>
      <c r="B59" s="65"/>
      <c r="C59" s="65"/>
      <c r="D59" s="35"/>
      <c r="E59" s="35"/>
      <c r="F59" s="65"/>
      <c r="G59" s="65"/>
      <c r="H59" s="65"/>
      <c r="I59" s="65"/>
      <c r="J59" s="65"/>
      <c r="K59" s="65"/>
      <c r="L59" s="65"/>
      <c r="M59" s="65"/>
      <c r="N59" s="65"/>
    </row>
    <row r="60">
      <c r="A60" s="74"/>
      <c r="B60" s="66" t="s">
        <v>352</v>
      </c>
      <c r="C60" s="66" t="s">
        <v>74</v>
      </c>
      <c r="D60" s="66" t="s">
        <v>353</v>
      </c>
      <c r="E60" s="66" t="s">
        <v>354</v>
      </c>
      <c r="F60" s="66" t="s">
        <v>355</v>
      </c>
      <c r="G60" s="66" t="s">
        <v>356</v>
      </c>
      <c r="H60" s="65"/>
      <c r="I60" s="65"/>
      <c r="J60" s="65"/>
      <c r="K60" s="65"/>
      <c r="L60" s="65"/>
      <c r="M60" s="65"/>
      <c r="N60" s="65"/>
    </row>
    <row r="61">
      <c r="A61" s="67" t="s">
        <v>311</v>
      </c>
      <c r="B61" s="68">
        <v>65144.71</v>
      </c>
      <c r="C61" s="72">
        <v>214961.05</v>
      </c>
      <c r="D61" s="34">
        <v>152583.41</v>
      </c>
      <c r="E61" s="68">
        <v>152583.41</v>
      </c>
      <c r="F61" s="68">
        <v>54360.2</v>
      </c>
      <c r="G61" s="68">
        <v>101709.01</v>
      </c>
      <c r="H61" s="68">
        <v>741341.79</v>
      </c>
      <c r="I61" s="69">
        <v>0.0934</v>
      </c>
      <c r="J61" s="65"/>
      <c r="K61" s="65"/>
      <c r="L61" s="65"/>
      <c r="M61" s="65"/>
      <c r="N61" s="65"/>
    </row>
    <row r="62">
      <c r="A62" s="67" t="s">
        <v>313</v>
      </c>
      <c r="B62" s="68">
        <v>65144.71</v>
      </c>
      <c r="C62" s="72">
        <v>211448.02</v>
      </c>
      <c r="D62" s="34">
        <v>152583.41</v>
      </c>
      <c r="E62" s="68">
        <v>152583.41</v>
      </c>
      <c r="F62" s="68">
        <v>27599.62</v>
      </c>
      <c r="G62" s="68">
        <v>101709.02</v>
      </c>
      <c r="H62" s="68">
        <v>711068.19</v>
      </c>
      <c r="I62" s="69">
        <v>0.0896</v>
      </c>
      <c r="J62" s="65"/>
      <c r="K62" s="65"/>
      <c r="L62" s="65"/>
      <c r="M62" s="65"/>
      <c r="N62" s="65"/>
    </row>
    <row r="63">
      <c r="A63" s="67" t="s">
        <v>314</v>
      </c>
      <c r="B63" s="68">
        <v>65158.05</v>
      </c>
      <c r="C63" s="72">
        <v>215079.03</v>
      </c>
      <c r="D63" s="34">
        <v>152583.41</v>
      </c>
      <c r="E63" s="68">
        <v>152583.41</v>
      </c>
      <c r="F63" s="68">
        <v>54360.2</v>
      </c>
      <c r="G63" s="68">
        <v>102188.03</v>
      </c>
      <c r="H63" s="68">
        <v>741952.13</v>
      </c>
      <c r="I63" s="69">
        <v>0.0935</v>
      </c>
      <c r="J63" s="65"/>
      <c r="K63" s="65"/>
      <c r="L63" s="65"/>
      <c r="M63" s="65"/>
      <c r="N63" s="65"/>
    </row>
    <row r="64">
      <c r="A64" s="67" t="s">
        <v>315</v>
      </c>
      <c r="B64" s="68">
        <v>65144.71</v>
      </c>
      <c r="C64" s="72">
        <v>214960.48</v>
      </c>
      <c r="D64" s="34">
        <v>152583.41</v>
      </c>
      <c r="E64" s="68">
        <v>152583.41</v>
      </c>
      <c r="F64" s="68">
        <v>54360.2</v>
      </c>
      <c r="G64" s="68">
        <v>101709.04</v>
      </c>
      <c r="H64" s="68">
        <v>741341.25</v>
      </c>
      <c r="I64" s="69">
        <v>0.0934</v>
      </c>
      <c r="J64" s="65"/>
      <c r="K64" s="65"/>
      <c r="L64" s="65"/>
      <c r="M64" s="65"/>
      <c r="N64" s="65"/>
    </row>
    <row r="65">
      <c r="A65" s="67" t="s">
        <v>319</v>
      </c>
      <c r="B65" s="68">
        <v>65144.71</v>
      </c>
      <c r="C65" s="72">
        <v>214960.97</v>
      </c>
      <c r="D65" s="34">
        <v>152583.41</v>
      </c>
      <c r="E65" s="68">
        <v>152583.41</v>
      </c>
      <c r="F65" s="68">
        <v>54360.2</v>
      </c>
      <c r="G65" s="68">
        <v>101709.05</v>
      </c>
      <c r="H65" s="68">
        <v>741341.75</v>
      </c>
      <c r="I65" s="69">
        <v>0.0934</v>
      </c>
      <c r="J65" s="65"/>
      <c r="K65" s="65"/>
      <c r="L65" s="65"/>
      <c r="M65" s="65"/>
      <c r="N65" s="65"/>
    </row>
    <row r="66">
      <c r="A66" s="67" t="s">
        <v>320</v>
      </c>
      <c r="B66" s="68">
        <v>46279.8</v>
      </c>
      <c r="C66" s="72">
        <v>168284.56</v>
      </c>
      <c r="D66" s="34">
        <v>144527.62</v>
      </c>
      <c r="E66" s="68">
        <v>144527.62</v>
      </c>
      <c r="F66" s="68">
        <v>53631.28</v>
      </c>
      <c r="G66" s="68">
        <v>90895.06</v>
      </c>
      <c r="H66" s="68">
        <v>648145.94</v>
      </c>
      <c r="I66" s="69">
        <v>0.0816</v>
      </c>
      <c r="J66" s="65"/>
      <c r="K66" s="65"/>
      <c r="L66" s="65"/>
      <c r="M66" s="65"/>
      <c r="N66" s="65"/>
    </row>
    <row r="67">
      <c r="A67" s="67" t="s">
        <v>321</v>
      </c>
      <c r="B67" s="68">
        <v>65144.71</v>
      </c>
      <c r="C67" s="72">
        <v>214960.58</v>
      </c>
      <c r="D67" s="34">
        <v>152583.41</v>
      </c>
      <c r="E67" s="68">
        <v>152583.41</v>
      </c>
      <c r="F67" s="68">
        <v>54360.2</v>
      </c>
      <c r="G67" s="68">
        <v>101709.07</v>
      </c>
      <c r="H67" s="68">
        <v>741341.38</v>
      </c>
      <c r="I67" s="69">
        <v>0.0934</v>
      </c>
      <c r="J67" s="65"/>
      <c r="K67" s="65"/>
      <c r="L67" s="65"/>
      <c r="M67" s="65"/>
      <c r="N67" s="65"/>
    </row>
    <row r="68">
      <c r="A68" s="67" t="s">
        <v>322</v>
      </c>
      <c r="B68" s="68">
        <v>65144.71</v>
      </c>
      <c r="C68" s="72">
        <v>214960.52</v>
      </c>
      <c r="D68" s="34">
        <v>152583.41</v>
      </c>
      <c r="E68" s="68">
        <v>152583.41</v>
      </c>
      <c r="F68" s="68">
        <v>54360.2</v>
      </c>
      <c r="G68" s="68">
        <v>101709.08</v>
      </c>
      <c r="H68" s="68">
        <v>741341.33</v>
      </c>
      <c r="I68" s="69">
        <v>0.0934</v>
      </c>
      <c r="J68" s="65"/>
      <c r="K68" s="65"/>
      <c r="L68" s="65"/>
      <c r="M68" s="65"/>
      <c r="N68" s="65"/>
    </row>
    <row r="69">
      <c r="A69" s="67" t="s">
        <v>323</v>
      </c>
      <c r="B69" s="68">
        <v>65144.71</v>
      </c>
      <c r="C69" s="72">
        <v>214961.31</v>
      </c>
      <c r="D69" s="34">
        <v>152583.41</v>
      </c>
      <c r="E69" s="68">
        <v>152583.41</v>
      </c>
      <c r="F69" s="68">
        <v>54360.2</v>
      </c>
      <c r="G69" s="68">
        <v>101709.09</v>
      </c>
      <c r="H69" s="68">
        <v>741342.13</v>
      </c>
      <c r="I69" s="69">
        <v>0.0934</v>
      </c>
      <c r="J69" s="65"/>
      <c r="K69" s="65"/>
      <c r="L69" s="65"/>
      <c r="M69" s="65"/>
      <c r="N69" s="65"/>
    </row>
    <row r="70">
      <c r="A70" s="67" t="s">
        <v>324</v>
      </c>
      <c r="B70" s="68">
        <v>65144.71</v>
      </c>
      <c r="C70" s="72">
        <v>214960.54</v>
      </c>
      <c r="D70" s="68">
        <v>152583.41</v>
      </c>
      <c r="E70" s="68">
        <v>152583.41</v>
      </c>
      <c r="F70" s="68">
        <v>54360.2</v>
      </c>
      <c r="G70" s="68">
        <v>101709.1</v>
      </c>
      <c r="H70" s="68">
        <v>741341.37</v>
      </c>
      <c r="I70" s="69">
        <v>0.0934</v>
      </c>
      <c r="J70" s="65"/>
      <c r="K70" s="65"/>
      <c r="L70" s="65"/>
      <c r="M70" s="65"/>
      <c r="N70" s="65"/>
    </row>
    <row r="71">
      <c r="A71" s="67" t="s">
        <v>325</v>
      </c>
      <c r="B71" s="68">
        <v>46279.8</v>
      </c>
      <c r="C71" s="72">
        <v>168285.55</v>
      </c>
      <c r="D71" s="68">
        <v>144527.62</v>
      </c>
      <c r="E71" s="68">
        <v>144527.62</v>
      </c>
      <c r="F71" s="68">
        <v>53631.28</v>
      </c>
      <c r="G71" s="68">
        <v>90895.11</v>
      </c>
      <c r="H71" s="68">
        <v>648146.98</v>
      </c>
      <c r="I71" s="69">
        <v>0.0816</v>
      </c>
      <c r="J71" s="65"/>
      <c r="K71" s="65"/>
      <c r="L71" s="65"/>
      <c r="M71" s="65"/>
      <c r="N71" s="65"/>
    </row>
    <row r="72">
      <c r="A72" s="65"/>
      <c r="B72" s="65"/>
      <c r="C72" s="65"/>
      <c r="D72" s="65"/>
      <c r="E72" s="65"/>
      <c r="F72" s="65"/>
      <c r="G72" s="65"/>
      <c r="H72" s="68">
        <v>7938704.24</v>
      </c>
      <c r="I72" s="68">
        <v>1.0</v>
      </c>
      <c r="J72" s="65"/>
      <c r="K72" s="65"/>
      <c r="L72" s="65"/>
      <c r="M72" s="65"/>
      <c r="N72" s="65"/>
    </row>
    <row r="7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</row>
    <row r="74">
      <c r="A74" s="74"/>
      <c r="B74" s="66" t="s">
        <v>364</v>
      </c>
      <c r="C74" s="66" t="s">
        <v>74</v>
      </c>
      <c r="D74" s="66" t="s">
        <v>365</v>
      </c>
      <c r="E74" s="66" t="s">
        <v>366</v>
      </c>
      <c r="F74" s="66" t="s">
        <v>367</v>
      </c>
      <c r="G74" s="66" t="s">
        <v>368</v>
      </c>
      <c r="H74" s="65"/>
      <c r="I74" s="65"/>
      <c r="J74" s="65"/>
      <c r="K74" s="65"/>
      <c r="L74" s="65"/>
      <c r="M74" s="65"/>
      <c r="N74" s="65"/>
    </row>
    <row r="75">
      <c r="A75" s="67" t="s">
        <v>311</v>
      </c>
      <c r="B75" s="68">
        <v>178833.77</v>
      </c>
      <c r="C75" s="68">
        <v>117592.9</v>
      </c>
      <c r="D75" s="68">
        <v>35463.23</v>
      </c>
      <c r="E75" s="68">
        <v>133129.99</v>
      </c>
      <c r="F75" s="68">
        <v>308007.01</v>
      </c>
      <c r="G75" s="68">
        <v>174743.78</v>
      </c>
      <c r="H75" s="68">
        <v>947770.68</v>
      </c>
      <c r="I75" s="69">
        <v>0.0955</v>
      </c>
      <c r="J75" s="65"/>
      <c r="K75" s="65"/>
      <c r="L75" s="65"/>
      <c r="M75" s="65"/>
      <c r="N75" s="65"/>
    </row>
    <row r="76">
      <c r="A76" s="67" t="s">
        <v>313</v>
      </c>
      <c r="B76" s="68">
        <v>174632.33</v>
      </c>
      <c r="C76" s="68">
        <v>111813.02</v>
      </c>
      <c r="D76" s="68">
        <v>27768.18</v>
      </c>
      <c r="E76" s="68">
        <v>133129.99</v>
      </c>
      <c r="F76" s="68">
        <v>295177.02</v>
      </c>
      <c r="G76" s="68">
        <v>133368.76</v>
      </c>
      <c r="H76" s="68">
        <v>875889.3</v>
      </c>
      <c r="I76" s="69">
        <v>0.0882</v>
      </c>
      <c r="J76" s="65"/>
      <c r="K76" s="65"/>
      <c r="L76" s="65"/>
      <c r="M76" s="65"/>
      <c r="N76" s="65"/>
    </row>
    <row r="77">
      <c r="A77" s="67" t="s">
        <v>314</v>
      </c>
      <c r="B77" s="68">
        <v>178833.77</v>
      </c>
      <c r="C77" s="68">
        <v>116693.03</v>
      </c>
      <c r="D77" s="68">
        <v>35463.23</v>
      </c>
      <c r="E77" s="68">
        <v>133129.99</v>
      </c>
      <c r="F77" s="68">
        <v>307984.03</v>
      </c>
      <c r="G77" s="68">
        <v>174743.78</v>
      </c>
      <c r="H77" s="68">
        <v>946847.83</v>
      </c>
      <c r="I77" s="69">
        <v>0.0954</v>
      </c>
      <c r="J77" s="65"/>
      <c r="K77" s="65"/>
      <c r="L77" s="65"/>
      <c r="M77" s="65"/>
      <c r="N77" s="65"/>
    </row>
    <row r="78">
      <c r="A78" s="67" t="s">
        <v>315</v>
      </c>
      <c r="B78" s="68">
        <v>178833.77</v>
      </c>
      <c r="C78" s="68">
        <v>117593.39</v>
      </c>
      <c r="D78" s="68">
        <v>35463.23</v>
      </c>
      <c r="E78" s="68">
        <v>133129.99</v>
      </c>
      <c r="F78" s="68">
        <v>308007.2</v>
      </c>
      <c r="G78" s="68">
        <v>174743.78</v>
      </c>
      <c r="H78" s="68">
        <v>947771.36</v>
      </c>
      <c r="I78" s="69">
        <v>0.0955</v>
      </c>
      <c r="J78" s="65"/>
      <c r="K78" s="65"/>
      <c r="L78" s="65"/>
      <c r="M78" s="65"/>
      <c r="N78" s="65"/>
    </row>
    <row r="79">
      <c r="A79" s="67" t="s">
        <v>319</v>
      </c>
      <c r="B79" s="68">
        <v>178833.77</v>
      </c>
      <c r="C79" s="68">
        <v>117593.04</v>
      </c>
      <c r="D79" s="68">
        <v>35463.23</v>
      </c>
      <c r="E79" s="68">
        <v>133129.99</v>
      </c>
      <c r="F79" s="68">
        <v>308007.05</v>
      </c>
      <c r="G79" s="68">
        <v>174743.78</v>
      </c>
      <c r="H79" s="68">
        <v>947770.86</v>
      </c>
      <c r="I79" s="69">
        <v>0.0955</v>
      </c>
      <c r="J79" s="65"/>
      <c r="K79" s="65"/>
      <c r="L79" s="65"/>
      <c r="M79" s="65"/>
      <c r="N79" s="65"/>
    </row>
    <row r="80">
      <c r="A80" s="67" t="s">
        <v>320</v>
      </c>
      <c r="B80" s="68">
        <v>109337.23</v>
      </c>
      <c r="C80" s="68">
        <v>108789.63</v>
      </c>
      <c r="D80" s="68">
        <v>29934.49</v>
      </c>
      <c r="E80" s="68">
        <v>124112.77</v>
      </c>
      <c r="F80" s="68">
        <v>211407.06</v>
      </c>
      <c r="G80" s="68">
        <v>151425.22</v>
      </c>
      <c r="H80" s="68">
        <v>735006.4</v>
      </c>
      <c r="I80" s="69">
        <v>0.074</v>
      </c>
      <c r="J80" s="65"/>
      <c r="K80" s="65"/>
      <c r="L80" s="65"/>
      <c r="M80" s="65"/>
      <c r="N80" s="65"/>
    </row>
    <row r="81">
      <c r="A81" s="67" t="s">
        <v>321</v>
      </c>
      <c r="B81" s="68">
        <v>178833.77</v>
      </c>
      <c r="C81" s="68">
        <v>117593.7</v>
      </c>
      <c r="D81" s="68">
        <v>35463.23</v>
      </c>
      <c r="E81" s="68">
        <v>133129.99</v>
      </c>
      <c r="F81" s="68">
        <v>308007.02</v>
      </c>
      <c r="G81" s="68">
        <v>174743.78</v>
      </c>
      <c r="H81" s="68">
        <v>947771.49</v>
      </c>
      <c r="I81" s="69">
        <v>0.0955</v>
      </c>
      <c r="J81" s="65"/>
      <c r="K81" s="65"/>
      <c r="L81" s="65"/>
      <c r="M81" s="65"/>
      <c r="N81" s="65"/>
    </row>
    <row r="82">
      <c r="A82" s="67" t="s">
        <v>322</v>
      </c>
      <c r="B82" s="68">
        <v>178833.77</v>
      </c>
      <c r="C82" s="68">
        <v>117593.59</v>
      </c>
      <c r="D82" s="68">
        <v>35463.23</v>
      </c>
      <c r="E82" s="68">
        <v>133129.99</v>
      </c>
      <c r="F82" s="68">
        <v>308007.08</v>
      </c>
      <c r="G82" s="68">
        <v>174743.78</v>
      </c>
      <c r="H82" s="68">
        <v>947771.44</v>
      </c>
      <c r="I82" s="69">
        <v>0.0955</v>
      </c>
      <c r="J82" s="65"/>
      <c r="K82" s="65"/>
      <c r="L82" s="65"/>
      <c r="M82" s="65"/>
      <c r="N82" s="65"/>
    </row>
    <row r="83">
      <c r="A83" s="67" t="s">
        <v>323</v>
      </c>
      <c r="B83" s="68">
        <v>178833.77</v>
      </c>
      <c r="C83" s="68">
        <v>117593.38</v>
      </c>
      <c r="D83" s="68">
        <v>35463.23</v>
      </c>
      <c r="E83" s="68">
        <v>133129.99</v>
      </c>
      <c r="F83" s="68">
        <v>308007.09</v>
      </c>
      <c r="G83" s="68">
        <v>174743.78</v>
      </c>
      <c r="H83" s="68">
        <v>947771.24</v>
      </c>
      <c r="I83" s="69">
        <v>0.0955</v>
      </c>
      <c r="J83" s="65"/>
      <c r="K83" s="65"/>
      <c r="L83" s="65"/>
      <c r="M83" s="65"/>
      <c r="N83" s="65"/>
    </row>
    <row r="84">
      <c r="A84" s="67" t="s">
        <v>324</v>
      </c>
      <c r="B84" s="68">
        <v>178833.77</v>
      </c>
      <c r="C84" s="68">
        <v>117593.61</v>
      </c>
      <c r="D84" s="68">
        <v>35463.23</v>
      </c>
      <c r="E84" s="68">
        <v>133129.99</v>
      </c>
      <c r="F84" s="68">
        <v>308007.1</v>
      </c>
      <c r="G84" s="68">
        <v>174743.78</v>
      </c>
      <c r="H84" s="68">
        <v>947771.48</v>
      </c>
      <c r="I84" s="69">
        <v>0.0955</v>
      </c>
      <c r="J84" s="65"/>
      <c r="K84" s="65"/>
      <c r="L84" s="65"/>
      <c r="M84" s="65"/>
      <c r="N84" s="65"/>
    </row>
    <row r="85">
      <c r="A85" s="67" t="s">
        <v>325</v>
      </c>
      <c r="B85" s="68">
        <v>109337.23</v>
      </c>
      <c r="C85" s="68">
        <v>108789.82</v>
      </c>
      <c r="D85" s="68">
        <v>29934.49</v>
      </c>
      <c r="E85" s="68">
        <v>124112.77</v>
      </c>
      <c r="F85" s="68">
        <v>211407.21</v>
      </c>
      <c r="G85" s="68">
        <v>151425.22</v>
      </c>
      <c r="H85" s="68">
        <v>735006.74</v>
      </c>
      <c r="I85" s="69">
        <v>0.074</v>
      </c>
      <c r="J85" s="65"/>
      <c r="K85" s="65"/>
      <c r="L85" s="65"/>
      <c r="M85" s="65"/>
      <c r="N85" s="65"/>
    </row>
    <row r="86">
      <c r="A86" s="65"/>
      <c r="B86" s="65"/>
      <c r="C86" s="65"/>
      <c r="D86" s="65"/>
      <c r="E86" s="35"/>
      <c r="F86" s="35"/>
      <c r="G86" s="65"/>
      <c r="H86" s="68">
        <v>9927148.82</v>
      </c>
      <c r="I86" s="65"/>
      <c r="J86" s="65"/>
      <c r="K86" s="65"/>
      <c r="L86" s="65"/>
      <c r="M86" s="65"/>
      <c r="N86" s="65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</row>
    <row r="88">
      <c r="A88" s="74"/>
      <c r="B88" s="66" t="s">
        <v>369</v>
      </c>
      <c r="C88" s="66" t="s">
        <v>370</v>
      </c>
      <c r="D88" s="66" t="s">
        <v>371</v>
      </c>
      <c r="E88" s="66" t="s">
        <v>372</v>
      </c>
      <c r="F88" s="66" t="s">
        <v>373</v>
      </c>
      <c r="G88" s="66" t="s">
        <v>374</v>
      </c>
      <c r="H88" s="66" t="s">
        <v>94</v>
      </c>
      <c r="I88" s="66" t="s">
        <v>375</v>
      </c>
      <c r="J88" s="65"/>
      <c r="K88" s="65"/>
      <c r="L88" s="65"/>
      <c r="M88" s="65"/>
      <c r="N88" s="65"/>
    </row>
    <row r="89">
      <c r="A89" s="67" t="s">
        <v>311</v>
      </c>
      <c r="B89" s="68">
        <v>31711.84</v>
      </c>
      <c r="C89" s="68">
        <v>102698.61</v>
      </c>
      <c r="D89" s="68">
        <v>366185.36</v>
      </c>
      <c r="E89" s="68">
        <v>259266.03</v>
      </c>
      <c r="F89" s="68">
        <v>129325.01</v>
      </c>
      <c r="G89" s="68">
        <v>78199.01</v>
      </c>
      <c r="H89" s="68">
        <v>10490.01</v>
      </c>
      <c r="I89" s="68">
        <v>84667.37</v>
      </c>
      <c r="J89" s="68">
        <v>1062543.24</v>
      </c>
      <c r="K89" s="69">
        <v>0.0949</v>
      </c>
      <c r="L89" s="65"/>
      <c r="M89" s="65"/>
      <c r="N89" s="65"/>
    </row>
    <row r="90">
      <c r="A90" s="67" t="s">
        <v>313</v>
      </c>
      <c r="B90" s="68">
        <v>28013.96</v>
      </c>
      <c r="C90" s="68">
        <v>100694.02</v>
      </c>
      <c r="D90" s="68">
        <v>309250.21</v>
      </c>
      <c r="E90" s="68">
        <v>226696.69</v>
      </c>
      <c r="F90" s="68">
        <v>115238.02</v>
      </c>
      <c r="G90" s="68">
        <v>19975.11</v>
      </c>
      <c r="H90" s="68">
        <v>-6063.98</v>
      </c>
      <c r="I90" s="68">
        <v>9212.88</v>
      </c>
      <c r="J90" s="68">
        <v>803016.91</v>
      </c>
      <c r="K90" s="69">
        <v>0.0717</v>
      </c>
      <c r="L90" s="65"/>
      <c r="M90" s="65"/>
      <c r="N90" s="65"/>
    </row>
    <row r="91">
      <c r="A91" s="67" t="s">
        <v>314</v>
      </c>
      <c r="B91" s="68">
        <v>31711.84</v>
      </c>
      <c r="C91" s="68">
        <v>102700.03</v>
      </c>
      <c r="D91" s="68">
        <v>366185.36</v>
      </c>
      <c r="E91" s="68">
        <v>259273.03</v>
      </c>
      <c r="F91" s="68">
        <v>129325.03</v>
      </c>
      <c r="G91" s="68">
        <v>78199.01</v>
      </c>
      <c r="H91" s="68">
        <v>10539.03</v>
      </c>
      <c r="I91" s="68">
        <v>84667.37</v>
      </c>
      <c r="J91" s="68">
        <v>1062600.7</v>
      </c>
      <c r="K91" s="69">
        <v>0.0949</v>
      </c>
      <c r="L91" s="65"/>
      <c r="M91" s="65"/>
      <c r="N91" s="65"/>
    </row>
    <row r="92">
      <c r="A92" s="67" t="s">
        <v>315</v>
      </c>
      <c r="B92" s="68">
        <v>31711.84</v>
      </c>
      <c r="C92" s="68">
        <v>102698.04</v>
      </c>
      <c r="D92" s="68">
        <v>366185.36</v>
      </c>
      <c r="E92" s="68">
        <v>259266.12</v>
      </c>
      <c r="F92" s="68">
        <v>129325.04</v>
      </c>
      <c r="G92" s="68">
        <v>78199.01</v>
      </c>
      <c r="H92" s="68">
        <v>10490.04</v>
      </c>
      <c r="I92" s="68">
        <v>84667.37</v>
      </c>
      <c r="J92" s="68">
        <v>1062542.82</v>
      </c>
      <c r="K92" s="69">
        <v>0.0949</v>
      </c>
      <c r="L92" s="65"/>
      <c r="M92" s="65"/>
      <c r="N92" s="65"/>
    </row>
    <row r="93">
      <c r="A93" s="67" t="s">
        <v>319</v>
      </c>
      <c r="B93" s="68">
        <v>31711.84</v>
      </c>
      <c r="C93" s="68">
        <v>102698.65</v>
      </c>
      <c r="D93" s="68">
        <v>366185.36</v>
      </c>
      <c r="E93" s="68">
        <v>259265.61</v>
      </c>
      <c r="F93" s="68">
        <v>129325.05</v>
      </c>
      <c r="G93" s="68">
        <v>78199.01</v>
      </c>
      <c r="H93" s="68">
        <v>10490.05</v>
      </c>
      <c r="I93" s="68">
        <v>84667.37</v>
      </c>
      <c r="J93" s="68">
        <v>1062542.94</v>
      </c>
      <c r="K93" s="69">
        <v>0.0949</v>
      </c>
      <c r="L93" s="65"/>
      <c r="M93" s="65"/>
      <c r="N93" s="65"/>
    </row>
    <row r="94">
      <c r="A94" s="67" t="s">
        <v>320</v>
      </c>
      <c r="B94" s="68">
        <v>26113.57</v>
      </c>
      <c r="C94" s="68">
        <v>93735.66</v>
      </c>
      <c r="D94" s="68">
        <v>347399.53</v>
      </c>
      <c r="E94" s="68">
        <v>190229.2</v>
      </c>
      <c r="F94" s="68">
        <v>109908.06</v>
      </c>
      <c r="G94" s="68">
        <v>78199.01</v>
      </c>
      <c r="H94" s="68">
        <v>17973.06</v>
      </c>
      <c r="I94" s="68">
        <v>84255.76</v>
      </c>
      <c r="J94" s="68">
        <v>947813.85</v>
      </c>
      <c r="K94" s="69">
        <v>0.0846</v>
      </c>
      <c r="L94" s="65"/>
      <c r="M94" s="65"/>
      <c r="N94" s="65"/>
    </row>
    <row r="95">
      <c r="A95" s="67" t="s">
        <v>321</v>
      </c>
      <c r="B95" s="68">
        <v>31711.84</v>
      </c>
      <c r="C95" s="68">
        <v>102698.67</v>
      </c>
      <c r="D95" s="68">
        <v>366185.36</v>
      </c>
      <c r="E95" s="68">
        <v>259266.22</v>
      </c>
      <c r="F95" s="68">
        <v>129325.07</v>
      </c>
      <c r="G95" s="68">
        <v>78199.01</v>
      </c>
      <c r="H95" s="68">
        <v>10490.07</v>
      </c>
      <c r="I95" s="68">
        <v>84667.37</v>
      </c>
      <c r="J95" s="68">
        <v>1062543.61</v>
      </c>
      <c r="K95" s="69">
        <v>0.0949</v>
      </c>
      <c r="L95" s="65"/>
      <c r="M95" s="65"/>
      <c r="N95" s="65"/>
    </row>
    <row r="96">
      <c r="A96" s="67" t="s">
        <v>322</v>
      </c>
      <c r="B96" s="68">
        <v>31711.84</v>
      </c>
      <c r="C96" s="68">
        <v>102698.68</v>
      </c>
      <c r="D96" s="68">
        <v>366185.36</v>
      </c>
      <c r="E96" s="68">
        <v>259266.16</v>
      </c>
      <c r="F96" s="68">
        <v>129325.08</v>
      </c>
      <c r="G96" s="68">
        <v>78199.01</v>
      </c>
      <c r="H96" s="68">
        <v>10490.08</v>
      </c>
      <c r="I96" s="68">
        <v>84667.37</v>
      </c>
      <c r="J96" s="68">
        <v>1062543.58</v>
      </c>
      <c r="K96" s="69">
        <v>0.0949</v>
      </c>
      <c r="L96" s="65"/>
      <c r="M96" s="65"/>
      <c r="N96" s="65"/>
    </row>
    <row r="97">
      <c r="A97" s="67" t="s">
        <v>323</v>
      </c>
      <c r="B97" s="68">
        <v>31711.84</v>
      </c>
      <c r="C97" s="68">
        <v>102698.69</v>
      </c>
      <c r="D97" s="68">
        <v>366185.36</v>
      </c>
      <c r="E97" s="68">
        <v>259265.95</v>
      </c>
      <c r="F97" s="68">
        <v>129325.09</v>
      </c>
      <c r="G97" s="68">
        <v>78199.01</v>
      </c>
      <c r="H97" s="68">
        <v>10490.09</v>
      </c>
      <c r="I97" s="68">
        <v>84667.37</v>
      </c>
      <c r="J97" s="68">
        <v>1062543.4</v>
      </c>
      <c r="K97" s="69">
        <v>0.0949</v>
      </c>
      <c r="L97" s="65"/>
      <c r="M97" s="65"/>
      <c r="N97" s="65"/>
    </row>
    <row r="98">
      <c r="A98" s="67" t="s">
        <v>324</v>
      </c>
      <c r="B98" s="68">
        <v>31711.84</v>
      </c>
      <c r="C98" s="68">
        <v>102698.7</v>
      </c>
      <c r="D98" s="68">
        <v>366185.36</v>
      </c>
      <c r="E98" s="68">
        <v>259266.18</v>
      </c>
      <c r="F98" s="68">
        <v>129325.1</v>
      </c>
      <c r="G98" s="68">
        <v>78199.01</v>
      </c>
      <c r="H98" s="68">
        <v>10490.1</v>
      </c>
      <c r="I98" s="68">
        <v>84667.37</v>
      </c>
      <c r="J98" s="68">
        <v>1062543.66</v>
      </c>
      <c r="K98" s="69">
        <v>0.0949</v>
      </c>
      <c r="L98" s="65"/>
      <c r="M98" s="65"/>
      <c r="N98" s="65"/>
    </row>
    <row r="99">
      <c r="A99" s="67" t="s">
        <v>325</v>
      </c>
      <c r="B99" s="68">
        <v>26113.57</v>
      </c>
      <c r="C99" s="68">
        <v>93735.71</v>
      </c>
      <c r="D99" s="68">
        <v>347399.53</v>
      </c>
      <c r="E99" s="68">
        <v>190229.49</v>
      </c>
      <c r="F99" s="68">
        <v>109908.11</v>
      </c>
      <c r="G99" s="68">
        <v>78199.01</v>
      </c>
      <c r="H99" s="68">
        <v>17973.11</v>
      </c>
      <c r="I99" s="68">
        <v>84255.76</v>
      </c>
      <c r="J99" s="68">
        <v>947814.29</v>
      </c>
      <c r="K99" s="69">
        <v>0.0846</v>
      </c>
      <c r="L99" s="65"/>
      <c r="M99" s="65"/>
      <c r="N99" s="65"/>
    </row>
    <row r="100">
      <c r="A100" s="74"/>
      <c r="B100" s="65"/>
      <c r="C100" s="65"/>
      <c r="D100" s="65"/>
      <c r="E100" s="65"/>
      <c r="F100" s="65"/>
      <c r="G100" s="65"/>
      <c r="H100" s="65"/>
      <c r="I100" s="68">
        <v>1.1199049E7</v>
      </c>
      <c r="J100" s="65"/>
      <c r="K100" s="65"/>
      <c r="L100" s="65"/>
      <c r="M100" s="65"/>
      <c r="N100" s="65"/>
    </row>
    <row r="101">
      <c r="A101" s="65"/>
      <c r="B101" s="35"/>
      <c r="C101" s="65"/>
      <c r="D101" s="65"/>
      <c r="E101" s="35"/>
      <c r="F101" s="35"/>
      <c r="G101" s="65"/>
      <c r="H101" s="65"/>
      <c r="I101" s="65"/>
      <c r="J101" s="65"/>
      <c r="K101" s="65"/>
      <c r="L101" s="65"/>
      <c r="M101" s="65"/>
      <c r="N101" s="65"/>
    </row>
    <row r="102">
      <c r="A102" s="74"/>
      <c r="B102" s="66" t="s">
        <v>382</v>
      </c>
      <c r="C102" s="66" t="s">
        <v>383</v>
      </c>
      <c r="D102" s="66" t="s">
        <v>384</v>
      </c>
      <c r="E102" s="66" t="s">
        <v>385</v>
      </c>
      <c r="F102" s="66" t="s">
        <v>386</v>
      </c>
      <c r="G102" s="66" t="s">
        <v>272</v>
      </c>
      <c r="H102" s="65"/>
      <c r="I102" s="65"/>
      <c r="J102" s="65"/>
      <c r="K102" s="65"/>
      <c r="L102" s="65"/>
      <c r="M102" s="65"/>
      <c r="N102" s="65"/>
    </row>
    <row r="103">
      <c r="A103" s="67" t="s">
        <v>311</v>
      </c>
      <c r="B103" s="68">
        <v>9459.0</v>
      </c>
      <c r="C103" s="68">
        <v>365590.99</v>
      </c>
      <c r="D103" s="68">
        <v>281450.56</v>
      </c>
      <c r="E103" s="68">
        <v>100864.23</v>
      </c>
      <c r="F103" s="68">
        <v>103723.22</v>
      </c>
      <c r="G103" s="68">
        <v>507447.01</v>
      </c>
      <c r="H103" s="68">
        <v>1368535.01</v>
      </c>
      <c r="I103" s="69">
        <v>0.0947</v>
      </c>
      <c r="J103" s="65"/>
      <c r="K103" s="65"/>
      <c r="L103" s="65"/>
      <c r="M103" s="65"/>
      <c r="N103" s="65"/>
    </row>
    <row r="104">
      <c r="A104" s="67" t="s">
        <v>313</v>
      </c>
      <c r="B104" s="68">
        <v>5257.7</v>
      </c>
      <c r="C104" s="68">
        <v>289331.56</v>
      </c>
      <c r="D104" s="68">
        <v>219412.22</v>
      </c>
      <c r="E104" s="68">
        <v>1141.18</v>
      </c>
      <c r="F104" s="68">
        <v>3294.64</v>
      </c>
      <c r="G104" s="68">
        <v>511041.02</v>
      </c>
      <c r="H104" s="68">
        <v>1029478.32</v>
      </c>
      <c r="I104" s="69">
        <v>0.0712</v>
      </c>
      <c r="J104" s="65"/>
      <c r="K104" s="65"/>
      <c r="L104" s="65"/>
      <c r="M104" s="65"/>
      <c r="N104" s="65"/>
    </row>
    <row r="105">
      <c r="A105" s="67" t="s">
        <v>314</v>
      </c>
      <c r="B105" s="68">
        <v>9459.0</v>
      </c>
      <c r="C105" s="68">
        <v>362791.53</v>
      </c>
      <c r="D105" s="68">
        <v>281450.56</v>
      </c>
      <c r="E105" s="68">
        <v>100864.23</v>
      </c>
      <c r="F105" s="68">
        <v>103723.22</v>
      </c>
      <c r="G105" s="68">
        <v>507445.03</v>
      </c>
      <c r="H105" s="68">
        <v>1365733.57</v>
      </c>
      <c r="I105" s="69">
        <v>0.0945</v>
      </c>
      <c r="J105" s="65"/>
      <c r="K105" s="65"/>
      <c r="L105" s="65"/>
      <c r="M105" s="65"/>
      <c r="N105" s="65"/>
    </row>
    <row r="106">
      <c r="A106" s="67" t="s">
        <v>315</v>
      </c>
      <c r="B106" s="68">
        <v>9459.0</v>
      </c>
      <c r="C106" s="68">
        <v>365591.06</v>
      </c>
      <c r="D106" s="68">
        <v>281450.56</v>
      </c>
      <c r="E106" s="68">
        <v>100864.23</v>
      </c>
      <c r="F106" s="68">
        <v>103723.22</v>
      </c>
      <c r="G106" s="68">
        <v>507447.04</v>
      </c>
      <c r="H106" s="68">
        <v>1368535.11</v>
      </c>
      <c r="I106" s="69">
        <v>0.0947</v>
      </c>
      <c r="J106" s="65"/>
      <c r="K106" s="65"/>
      <c r="L106" s="65"/>
      <c r="M106" s="65"/>
      <c r="N106" s="65"/>
    </row>
    <row r="107">
      <c r="A107" s="67" t="s">
        <v>319</v>
      </c>
      <c r="B107" s="68">
        <v>9459.0</v>
      </c>
      <c r="C107" s="68">
        <v>365590.99</v>
      </c>
      <c r="D107" s="68">
        <v>281450.56</v>
      </c>
      <c r="E107" s="68">
        <v>100864.23</v>
      </c>
      <c r="F107" s="68">
        <v>103723.22</v>
      </c>
      <c r="G107" s="68">
        <v>507447.61</v>
      </c>
      <c r="H107" s="68">
        <v>1368535.61</v>
      </c>
      <c r="I107" s="69">
        <v>0.0947</v>
      </c>
      <c r="J107" s="65"/>
      <c r="K107" s="65"/>
      <c r="L107" s="65"/>
      <c r="M107" s="65"/>
      <c r="N107" s="65"/>
    </row>
    <row r="108">
      <c r="A108" s="67" t="s">
        <v>320</v>
      </c>
      <c r="B108" s="68">
        <v>9459.0</v>
      </c>
      <c r="C108" s="68">
        <v>312834.14</v>
      </c>
      <c r="D108" s="68">
        <v>281369.31</v>
      </c>
      <c r="E108" s="68">
        <v>100410.09</v>
      </c>
      <c r="F108" s="68">
        <v>103723.22</v>
      </c>
      <c r="G108" s="68">
        <v>431140.02</v>
      </c>
      <c r="H108" s="68">
        <v>1238935.78</v>
      </c>
      <c r="I108" s="69">
        <v>0.0857</v>
      </c>
      <c r="J108" s="65"/>
      <c r="K108" s="65"/>
      <c r="L108" s="65"/>
      <c r="M108" s="65"/>
      <c r="N108" s="65"/>
    </row>
    <row r="109">
      <c r="A109" s="67" t="s">
        <v>321</v>
      </c>
      <c r="B109" s="68">
        <v>9459.0</v>
      </c>
      <c r="C109" s="68">
        <v>365590.8</v>
      </c>
      <c r="D109" s="68">
        <v>281450.56</v>
      </c>
      <c r="E109" s="68">
        <v>100864.23</v>
      </c>
      <c r="F109" s="68">
        <v>103723.22</v>
      </c>
      <c r="G109" s="68">
        <v>507447.39</v>
      </c>
      <c r="H109" s="68">
        <v>1368535.2</v>
      </c>
      <c r="I109" s="69">
        <v>0.0947</v>
      </c>
      <c r="J109" s="65"/>
      <c r="K109" s="65"/>
      <c r="L109" s="65"/>
      <c r="M109" s="65"/>
      <c r="N109" s="65"/>
    </row>
    <row r="110">
      <c r="A110" s="67" t="s">
        <v>322</v>
      </c>
      <c r="B110" s="68">
        <v>9459.0</v>
      </c>
      <c r="C110" s="68">
        <v>365591.1</v>
      </c>
      <c r="D110" s="68">
        <v>281450.56</v>
      </c>
      <c r="E110" s="68">
        <v>100864.23</v>
      </c>
      <c r="F110" s="68">
        <v>103723.22</v>
      </c>
      <c r="G110" s="68">
        <v>507447.04</v>
      </c>
      <c r="H110" s="68">
        <v>1368535.15</v>
      </c>
      <c r="I110" s="69">
        <v>0.0947</v>
      </c>
      <c r="J110" s="65"/>
      <c r="K110" s="65"/>
      <c r="L110" s="65"/>
      <c r="M110" s="65"/>
      <c r="N110" s="65"/>
    </row>
    <row r="111">
      <c r="A111" s="67" t="s">
        <v>323</v>
      </c>
      <c r="B111" s="68">
        <v>9459.0</v>
      </c>
      <c r="C111" s="68">
        <v>365590.89</v>
      </c>
      <c r="D111" s="68">
        <v>281450.56</v>
      </c>
      <c r="E111" s="68">
        <v>100864.23</v>
      </c>
      <c r="F111" s="68">
        <v>103723.22</v>
      </c>
      <c r="G111" s="68">
        <v>507447.05</v>
      </c>
      <c r="H111" s="68">
        <v>1368534.95</v>
      </c>
      <c r="I111" s="69">
        <v>0.0947</v>
      </c>
      <c r="J111" s="65"/>
      <c r="K111" s="65"/>
      <c r="L111" s="65"/>
      <c r="M111" s="65"/>
      <c r="N111" s="65"/>
    </row>
    <row r="112">
      <c r="A112" s="67" t="s">
        <v>324</v>
      </c>
      <c r="B112" s="68">
        <v>9459.0</v>
      </c>
      <c r="C112" s="68">
        <v>365591.12</v>
      </c>
      <c r="D112" s="68">
        <v>281450.56</v>
      </c>
      <c r="E112" s="68">
        <v>100864.23</v>
      </c>
      <c r="F112" s="68">
        <v>103723.22</v>
      </c>
      <c r="G112" s="68">
        <v>507447.06</v>
      </c>
      <c r="H112" s="68">
        <v>1368535.19</v>
      </c>
      <c r="I112" s="69">
        <v>0.0947</v>
      </c>
      <c r="J112" s="65"/>
      <c r="K112" s="65"/>
      <c r="L112" s="65"/>
      <c r="M112" s="65"/>
      <c r="N112" s="65"/>
    </row>
    <row r="113">
      <c r="A113" s="67" t="s">
        <v>325</v>
      </c>
      <c r="B113" s="68">
        <v>9459.0</v>
      </c>
      <c r="C113" s="68">
        <v>312833.79</v>
      </c>
      <c r="D113" s="68">
        <v>281369.31</v>
      </c>
      <c r="E113" s="68">
        <v>100410.09</v>
      </c>
      <c r="F113" s="68">
        <v>103723.22</v>
      </c>
      <c r="G113" s="68">
        <v>431140.69</v>
      </c>
      <c r="H113" s="68">
        <v>1238936.1</v>
      </c>
      <c r="I113" s="69">
        <v>0.0857</v>
      </c>
      <c r="J113" s="65"/>
      <c r="K113" s="65"/>
      <c r="L113" s="65"/>
      <c r="M113" s="65"/>
      <c r="N113" s="65"/>
    </row>
    <row r="114">
      <c r="A114" s="74"/>
      <c r="B114" s="65"/>
      <c r="C114" s="65"/>
      <c r="D114" s="65"/>
      <c r="E114" s="65"/>
      <c r="F114" s="65"/>
      <c r="G114" s="65"/>
      <c r="H114" s="68">
        <v>1.445282999E7</v>
      </c>
      <c r="I114" s="65"/>
      <c r="J114" s="65"/>
      <c r="K114" s="65"/>
      <c r="L114" s="65"/>
      <c r="M114" s="65"/>
      <c r="N114" s="65"/>
    </row>
    <row r="115">
      <c r="A115" s="74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</row>
    <row r="116">
      <c r="A116" s="74"/>
      <c r="B116" s="67" t="s">
        <v>391</v>
      </c>
      <c r="C116" s="66" t="s">
        <v>392</v>
      </c>
      <c r="D116" s="66" t="s">
        <v>393</v>
      </c>
      <c r="E116" s="66" t="s">
        <v>394</v>
      </c>
      <c r="F116" s="66" t="s">
        <v>395</v>
      </c>
      <c r="G116" s="66" t="s">
        <v>396</v>
      </c>
      <c r="H116" s="66" t="s">
        <v>397</v>
      </c>
      <c r="I116" s="66" t="s">
        <v>287</v>
      </c>
      <c r="J116" s="65"/>
      <c r="K116" s="65"/>
      <c r="L116" s="65"/>
      <c r="M116" s="65"/>
      <c r="N116" s="65"/>
    </row>
    <row r="117">
      <c r="A117" s="67" t="s">
        <v>311</v>
      </c>
      <c r="B117" s="68">
        <v>105045.01</v>
      </c>
      <c r="C117" s="34">
        <v>69146.15</v>
      </c>
      <c r="D117" s="68">
        <v>130677.07</v>
      </c>
      <c r="E117" s="68">
        <v>253600.88</v>
      </c>
      <c r="F117" s="68">
        <v>167647.41</v>
      </c>
      <c r="G117" s="68">
        <v>121278.14</v>
      </c>
      <c r="H117" s="68">
        <v>11363.21</v>
      </c>
      <c r="I117" s="72">
        <v>101035.01</v>
      </c>
      <c r="J117" s="68">
        <v>959792.88</v>
      </c>
      <c r="K117" s="69">
        <v>0.0982</v>
      </c>
      <c r="L117" s="65"/>
      <c r="M117" s="65"/>
      <c r="N117" s="65"/>
    </row>
    <row r="118">
      <c r="A118" s="67" t="s">
        <v>313</v>
      </c>
      <c r="B118" s="68">
        <v>27246.02</v>
      </c>
      <c r="C118" s="68">
        <v>11661.05</v>
      </c>
      <c r="D118" s="68">
        <v>0.0</v>
      </c>
      <c r="E118" s="68">
        <v>137570.02</v>
      </c>
      <c r="F118" s="68">
        <v>0.0</v>
      </c>
      <c r="G118" s="68">
        <v>367.12</v>
      </c>
      <c r="H118" s="68">
        <v>16541.02</v>
      </c>
      <c r="I118" s="72">
        <v>23286.02</v>
      </c>
      <c r="J118" s="68">
        <v>216671.25</v>
      </c>
      <c r="K118" s="69">
        <v>0.0222</v>
      </c>
      <c r="L118" s="65"/>
      <c r="M118" s="65"/>
      <c r="N118" s="65"/>
    </row>
    <row r="119">
      <c r="A119" s="67" t="s">
        <v>314</v>
      </c>
      <c r="B119" s="68">
        <v>103518.03</v>
      </c>
      <c r="C119" s="68">
        <v>69146.15</v>
      </c>
      <c r="D119" s="68">
        <v>130677.07</v>
      </c>
      <c r="E119" s="68">
        <v>253745.03</v>
      </c>
      <c r="F119" s="68">
        <v>167647.41</v>
      </c>
      <c r="G119" s="68">
        <v>121278.14</v>
      </c>
      <c r="H119" s="68">
        <v>11406.03</v>
      </c>
      <c r="I119" s="72">
        <v>101035.03</v>
      </c>
      <c r="J119" s="68">
        <v>958452.89</v>
      </c>
      <c r="K119" s="69">
        <v>0.0981</v>
      </c>
      <c r="L119" s="65"/>
      <c r="M119" s="65"/>
      <c r="N119" s="65"/>
    </row>
    <row r="120">
      <c r="A120" s="67" t="s">
        <v>315</v>
      </c>
      <c r="B120" s="68">
        <v>105045.04</v>
      </c>
      <c r="C120" s="68">
        <v>69146.15</v>
      </c>
      <c r="D120" s="68">
        <v>130677.07</v>
      </c>
      <c r="E120" s="68">
        <v>253601.04</v>
      </c>
      <c r="F120" s="68">
        <v>167647.41</v>
      </c>
      <c r="G120" s="68">
        <v>121278.14</v>
      </c>
      <c r="H120" s="68">
        <v>11362.37</v>
      </c>
      <c r="I120" s="72">
        <v>101036.0</v>
      </c>
      <c r="J120" s="68">
        <v>959793.22</v>
      </c>
      <c r="K120" s="69">
        <v>0.0982</v>
      </c>
      <c r="L120" s="65"/>
      <c r="M120" s="65"/>
      <c r="N120" s="65"/>
    </row>
    <row r="121">
      <c r="A121" s="67" t="s">
        <v>319</v>
      </c>
      <c r="B121" s="68">
        <v>105045.05</v>
      </c>
      <c r="C121" s="68">
        <v>69146.15</v>
      </c>
      <c r="D121" s="68">
        <v>130677.07</v>
      </c>
      <c r="E121" s="68">
        <v>253601.1</v>
      </c>
      <c r="F121" s="68">
        <v>167647.41</v>
      </c>
      <c r="G121" s="68">
        <v>121278.14</v>
      </c>
      <c r="H121" s="68">
        <v>11363.25</v>
      </c>
      <c r="I121" s="72">
        <v>101035.05</v>
      </c>
      <c r="J121" s="68">
        <v>959793.22</v>
      </c>
      <c r="K121" s="69">
        <v>0.0982</v>
      </c>
      <c r="L121" s="65"/>
      <c r="M121" s="65"/>
      <c r="N121" s="65"/>
    </row>
    <row r="122">
      <c r="A122" s="67" t="s">
        <v>320</v>
      </c>
      <c r="B122" s="68">
        <v>98548.06</v>
      </c>
      <c r="C122" s="68">
        <v>67038.48</v>
      </c>
      <c r="D122" s="68">
        <v>130677.07</v>
      </c>
      <c r="E122" s="68">
        <v>248724.69</v>
      </c>
      <c r="F122" s="68">
        <v>167647.41</v>
      </c>
      <c r="G122" s="68">
        <v>121132.04</v>
      </c>
      <c r="H122" s="68">
        <v>12009.26</v>
      </c>
      <c r="I122" s="72">
        <v>94412.06</v>
      </c>
      <c r="J122" s="68">
        <v>940189.07</v>
      </c>
      <c r="K122" s="69">
        <v>0.0962</v>
      </c>
      <c r="L122" s="65"/>
      <c r="M122" s="65"/>
      <c r="N122" s="65"/>
    </row>
    <row r="123">
      <c r="A123" s="67" t="s">
        <v>321</v>
      </c>
      <c r="B123" s="68">
        <v>105045.07</v>
      </c>
      <c r="C123" s="68">
        <v>69146.15</v>
      </c>
      <c r="D123" s="68">
        <v>130677.07</v>
      </c>
      <c r="E123" s="68">
        <v>253601.11</v>
      </c>
      <c r="F123" s="68">
        <v>167647.41</v>
      </c>
      <c r="G123" s="68">
        <v>121278.14</v>
      </c>
      <c r="H123" s="68">
        <v>11363.27</v>
      </c>
      <c r="I123" s="72">
        <v>101035.07</v>
      </c>
      <c r="J123" s="68">
        <v>959793.29</v>
      </c>
      <c r="K123" s="69">
        <v>0.0982</v>
      </c>
      <c r="L123" s="65"/>
      <c r="M123" s="65"/>
      <c r="N123" s="65"/>
    </row>
    <row r="124">
      <c r="A124" s="67" t="s">
        <v>322</v>
      </c>
      <c r="B124" s="68">
        <v>105045.08</v>
      </c>
      <c r="C124" s="68">
        <v>69146.15</v>
      </c>
      <c r="D124" s="68">
        <v>130677.07</v>
      </c>
      <c r="E124" s="68">
        <v>253600.65</v>
      </c>
      <c r="F124" s="68">
        <v>167647.41</v>
      </c>
      <c r="G124" s="68">
        <v>121278.14</v>
      </c>
      <c r="H124" s="68">
        <v>11363.28</v>
      </c>
      <c r="I124" s="72">
        <v>101035.08</v>
      </c>
      <c r="J124" s="68">
        <v>959792.86</v>
      </c>
      <c r="K124" s="69">
        <v>0.0982</v>
      </c>
      <c r="L124" s="65"/>
      <c r="M124" s="65"/>
      <c r="N124" s="65"/>
    </row>
    <row r="125">
      <c r="A125" s="67" t="s">
        <v>323</v>
      </c>
      <c r="B125" s="68">
        <v>105045.09</v>
      </c>
      <c r="C125" s="68">
        <v>69146.15</v>
      </c>
      <c r="D125" s="68">
        <v>130677.07</v>
      </c>
      <c r="E125" s="68">
        <v>253601.44</v>
      </c>
      <c r="F125" s="68">
        <v>167647.41</v>
      </c>
      <c r="G125" s="68">
        <v>121278.14</v>
      </c>
      <c r="H125" s="68">
        <v>11363.29</v>
      </c>
      <c r="I125" s="72">
        <v>101035.09</v>
      </c>
      <c r="J125" s="68">
        <v>959793.68</v>
      </c>
      <c r="K125" s="69">
        <v>0.0982</v>
      </c>
      <c r="L125" s="65"/>
      <c r="M125" s="65"/>
      <c r="N125" s="65"/>
    </row>
    <row r="126">
      <c r="A126" s="67" t="s">
        <v>324</v>
      </c>
      <c r="B126" s="68">
        <v>105045.1</v>
      </c>
      <c r="C126" s="68">
        <v>69146.15</v>
      </c>
      <c r="D126" s="68">
        <v>130677.07</v>
      </c>
      <c r="E126" s="68">
        <v>253600.67</v>
      </c>
      <c r="F126" s="68">
        <v>167647.41</v>
      </c>
      <c r="G126" s="68">
        <v>121278.14</v>
      </c>
      <c r="H126" s="68">
        <v>11363.3</v>
      </c>
      <c r="I126" s="72">
        <v>101035.1</v>
      </c>
      <c r="J126" s="68">
        <v>959792.94</v>
      </c>
      <c r="K126" s="69">
        <v>0.0982</v>
      </c>
      <c r="L126" s="65"/>
      <c r="M126" s="65"/>
      <c r="N126" s="65"/>
    </row>
    <row r="127">
      <c r="A127" s="67" t="s">
        <v>325</v>
      </c>
      <c r="B127" s="68">
        <v>98548.11</v>
      </c>
      <c r="C127" s="68">
        <v>67038.48</v>
      </c>
      <c r="D127" s="68">
        <v>130677.07</v>
      </c>
      <c r="E127" s="68">
        <v>248724.11</v>
      </c>
      <c r="F127" s="68">
        <v>167647.41</v>
      </c>
      <c r="G127" s="68">
        <v>121132.04</v>
      </c>
      <c r="H127" s="68">
        <v>12009.23</v>
      </c>
      <c r="I127" s="72">
        <v>94412.0</v>
      </c>
      <c r="J127" s="68">
        <v>940188.45</v>
      </c>
      <c r="K127" s="69">
        <v>0.0962</v>
      </c>
      <c r="L127" s="65"/>
      <c r="M127" s="65"/>
      <c r="N127" s="65"/>
    </row>
    <row r="128">
      <c r="A128" s="74"/>
      <c r="B128" s="74"/>
      <c r="C128" s="65"/>
      <c r="D128" s="65"/>
      <c r="E128" s="65"/>
      <c r="F128" s="65"/>
      <c r="G128" s="65"/>
      <c r="H128" s="65"/>
      <c r="I128" s="65"/>
      <c r="J128" s="68">
        <v>9774053.76</v>
      </c>
      <c r="K128" s="65"/>
      <c r="L128" s="65"/>
      <c r="M128" s="65"/>
      <c r="N128" s="65"/>
    </row>
    <row r="129">
      <c r="A129" s="74"/>
      <c r="B129" s="74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</row>
    <row r="130">
      <c r="A130" s="74"/>
      <c r="B130" s="67" t="s">
        <v>401</v>
      </c>
      <c r="C130" s="66" t="s">
        <v>402</v>
      </c>
      <c r="D130" s="66" t="s">
        <v>403</v>
      </c>
      <c r="E130" s="66" t="s">
        <v>404</v>
      </c>
      <c r="F130" s="66" t="s">
        <v>405</v>
      </c>
      <c r="G130" s="66" t="s">
        <v>135</v>
      </c>
      <c r="H130" s="66" t="s">
        <v>406</v>
      </c>
      <c r="I130" s="65"/>
      <c r="J130" s="65"/>
      <c r="K130" s="65"/>
      <c r="L130" s="65"/>
      <c r="M130" s="65"/>
      <c r="N130" s="65"/>
    </row>
    <row r="131">
      <c r="A131" s="67" t="s">
        <v>311</v>
      </c>
      <c r="B131" s="68">
        <v>189901.5</v>
      </c>
      <c r="C131" s="68">
        <v>16551.59</v>
      </c>
      <c r="D131" s="68">
        <v>88646.01</v>
      </c>
      <c r="E131" s="68">
        <v>397694.64</v>
      </c>
      <c r="F131" s="68">
        <v>77053.55</v>
      </c>
      <c r="G131" s="68">
        <v>86027.63</v>
      </c>
      <c r="H131" s="68">
        <v>69369.85</v>
      </c>
      <c r="I131" s="68">
        <v>925244.77</v>
      </c>
      <c r="J131" s="69">
        <v>0.0991</v>
      </c>
      <c r="K131" s="65"/>
      <c r="L131" s="65"/>
      <c r="M131" s="65"/>
      <c r="N131" s="65"/>
    </row>
    <row r="132">
      <c r="A132" s="67" t="s">
        <v>313</v>
      </c>
      <c r="B132" s="68">
        <v>21482.02</v>
      </c>
      <c r="C132" s="68">
        <v>0.0</v>
      </c>
      <c r="D132" s="68">
        <v>59228.02</v>
      </c>
      <c r="E132" s="68">
        <v>0.0</v>
      </c>
      <c r="F132" s="68">
        <v>12222.65</v>
      </c>
      <c r="G132" s="68">
        <v>30090.02</v>
      </c>
      <c r="H132" s="68">
        <v>0.0</v>
      </c>
      <c r="I132" s="68">
        <v>123022.71</v>
      </c>
      <c r="J132" s="69">
        <v>0.0132</v>
      </c>
      <c r="K132" s="65"/>
      <c r="L132" s="65"/>
      <c r="M132" s="65"/>
      <c r="N132" s="65"/>
    </row>
    <row r="133">
      <c r="A133" s="67" t="s">
        <v>314</v>
      </c>
      <c r="B133" s="68">
        <v>190145.03</v>
      </c>
      <c r="C133" s="68">
        <v>16551.59</v>
      </c>
      <c r="D133" s="68">
        <v>89766.03</v>
      </c>
      <c r="E133" s="68">
        <v>397694.64</v>
      </c>
      <c r="F133" s="68">
        <v>77053.55</v>
      </c>
      <c r="G133" s="68">
        <v>83616.03</v>
      </c>
      <c r="H133" s="68">
        <v>69369.85</v>
      </c>
      <c r="I133" s="68">
        <v>924196.72</v>
      </c>
      <c r="J133" s="69">
        <v>0.099</v>
      </c>
      <c r="K133" s="65"/>
      <c r="L133" s="65"/>
      <c r="M133" s="65"/>
      <c r="N133" s="65"/>
    </row>
    <row r="134">
      <c r="A134" s="67" t="s">
        <v>315</v>
      </c>
      <c r="B134" s="68">
        <v>189901.04</v>
      </c>
      <c r="C134" s="68">
        <v>16551.59</v>
      </c>
      <c r="D134" s="68">
        <v>88646.09</v>
      </c>
      <c r="E134" s="68">
        <v>397694.64</v>
      </c>
      <c r="F134" s="68">
        <v>77053.55</v>
      </c>
      <c r="G134" s="68">
        <v>86027.04</v>
      </c>
      <c r="H134" s="68">
        <v>69369.85</v>
      </c>
      <c r="I134" s="68">
        <v>925243.8</v>
      </c>
      <c r="J134" s="69">
        <v>0.0991</v>
      </c>
      <c r="K134" s="65"/>
      <c r="L134" s="65"/>
      <c r="M134" s="65"/>
      <c r="N134" s="65"/>
    </row>
    <row r="135">
      <c r="A135" s="67" t="s">
        <v>319</v>
      </c>
      <c r="B135" s="68">
        <v>189901.05</v>
      </c>
      <c r="C135" s="68">
        <v>16551.59</v>
      </c>
      <c r="D135" s="68">
        <v>88645.98</v>
      </c>
      <c r="E135" s="68">
        <v>397694.64</v>
      </c>
      <c r="F135" s="68">
        <v>77053.55</v>
      </c>
      <c r="G135" s="68">
        <v>86027.67</v>
      </c>
      <c r="H135" s="68">
        <v>69369.85</v>
      </c>
      <c r="I135" s="68">
        <v>925244.33</v>
      </c>
      <c r="J135" s="69">
        <v>0.0991</v>
      </c>
      <c r="K135" s="65"/>
      <c r="L135" s="65"/>
      <c r="M135" s="65"/>
      <c r="N135" s="65"/>
    </row>
    <row r="136">
      <c r="A136" s="67" t="s">
        <v>320</v>
      </c>
      <c r="B136" s="68">
        <v>188993.49</v>
      </c>
      <c r="C136" s="68">
        <v>16551.59</v>
      </c>
      <c r="D136" s="68">
        <v>81931.14</v>
      </c>
      <c r="E136" s="68">
        <v>397694.64</v>
      </c>
      <c r="F136" s="68">
        <v>72189.43</v>
      </c>
      <c r="G136" s="68">
        <v>78205.68</v>
      </c>
      <c r="H136" s="68">
        <v>69369.85</v>
      </c>
      <c r="I136" s="68">
        <v>904935.82</v>
      </c>
      <c r="J136" s="69">
        <v>0.097</v>
      </c>
      <c r="K136" s="65"/>
      <c r="L136" s="65"/>
      <c r="M136" s="65"/>
      <c r="N136" s="65"/>
    </row>
    <row r="137">
      <c r="A137" s="67" t="s">
        <v>321</v>
      </c>
      <c r="B137" s="68">
        <v>189901.07</v>
      </c>
      <c r="C137" s="68">
        <v>16551.59</v>
      </c>
      <c r="D137" s="68">
        <v>88646.59</v>
      </c>
      <c r="E137" s="68">
        <v>397694.64</v>
      </c>
      <c r="F137" s="68">
        <v>77053.55</v>
      </c>
      <c r="G137" s="68">
        <v>86027.07</v>
      </c>
      <c r="H137" s="68">
        <v>69369.85</v>
      </c>
      <c r="I137" s="68">
        <v>925244.36</v>
      </c>
      <c r="J137" s="69">
        <v>0.0991</v>
      </c>
      <c r="K137" s="65"/>
      <c r="L137" s="65"/>
      <c r="M137" s="65"/>
      <c r="N137" s="65"/>
    </row>
    <row r="138">
      <c r="A138" s="67" t="s">
        <v>322</v>
      </c>
      <c r="B138" s="68">
        <v>189901.08</v>
      </c>
      <c r="C138" s="68">
        <v>16551.59</v>
      </c>
      <c r="D138" s="68">
        <v>88646.53</v>
      </c>
      <c r="E138" s="68">
        <v>397694.64</v>
      </c>
      <c r="F138" s="68">
        <v>77053.55</v>
      </c>
      <c r="G138" s="68">
        <v>86027.7</v>
      </c>
      <c r="H138" s="68">
        <v>69369.85</v>
      </c>
      <c r="I138" s="68">
        <v>925244.94</v>
      </c>
      <c r="J138" s="69">
        <v>0.0991</v>
      </c>
      <c r="K138" s="65"/>
      <c r="L138" s="65"/>
      <c r="M138" s="65"/>
      <c r="N138" s="65"/>
    </row>
    <row r="139">
      <c r="A139" s="67" t="s">
        <v>323</v>
      </c>
      <c r="B139" s="68">
        <v>189901.32</v>
      </c>
      <c r="C139" s="68">
        <v>16551.59</v>
      </c>
      <c r="D139" s="68">
        <v>88646.09</v>
      </c>
      <c r="E139" s="68">
        <v>397694.64</v>
      </c>
      <c r="F139" s="68">
        <v>77053.55</v>
      </c>
      <c r="G139" s="68">
        <v>86027.71</v>
      </c>
      <c r="H139" s="68">
        <v>69369.85</v>
      </c>
      <c r="I139" s="68">
        <v>925244.75</v>
      </c>
      <c r="J139" s="69">
        <v>0.0991</v>
      </c>
      <c r="K139" s="65"/>
      <c r="L139" s="65"/>
      <c r="M139" s="65"/>
      <c r="N139" s="65"/>
    </row>
    <row r="140">
      <c r="A140" s="67" t="s">
        <v>324</v>
      </c>
      <c r="B140" s="68">
        <v>189901.3</v>
      </c>
      <c r="C140" s="68">
        <v>16551.59</v>
      </c>
      <c r="D140" s="68">
        <v>88646.55</v>
      </c>
      <c r="E140" s="68">
        <v>397694.64</v>
      </c>
      <c r="F140" s="68">
        <v>77053.55</v>
      </c>
      <c r="G140" s="68">
        <v>86027.72</v>
      </c>
      <c r="H140" s="68">
        <v>69369.85</v>
      </c>
      <c r="I140" s="68">
        <v>925245.2</v>
      </c>
      <c r="J140" s="69">
        <v>0.0991</v>
      </c>
      <c r="K140" s="65"/>
      <c r="L140" s="65"/>
      <c r="M140" s="65"/>
      <c r="N140" s="65"/>
    </row>
    <row r="141">
      <c r="A141" s="67" t="s">
        <v>325</v>
      </c>
      <c r="B141" s="68">
        <v>188993.11</v>
      </c>
      <c r="C141" s="68">
        <v>16551.59</v>
      </c>
      <c r="D141" s="68">
        <v>81931.39</v>
      </c>
      <c r="E141" s="68">
        <v>397694.64</v>
      </c>
      <c r="F141" s="68">
        <v>72189.43</v>
      </c>
      <c r="G141" s="68">
        <v>78206.11</v>
      </c>
      <c r="H141" s="68">
        <v>69369.85</v>
      </c>
      <c r="I141" s="68">
        <v>904936.12</v>
      </c>
      <c r="J141" s="69">
        <v>0.097</v>
      </c>
      <c r="K141" s="65"/>
      <c r="L141" s="65"/>
      <c r="M141" s="65"/>
      <c r="N141" s="65"/>
    </row>
    <row r="142">
      <c r="A142" s="74"/>
      <c r="B142" s="74"/>
      <c r="C142" s="65"/>
      <c r="D142" s="65"/>
      <c r="E142" s="65"/>
      <c r="F142" s="65"/>
      <c r="G142" s="65"/>
      <c r="H142" s="65"/>
      <c r="I142" s="68">
        <v>9333803.52</v>
      </c>
      <c r="J142" s="65"/>
      <c r="K142" s="65"/>
      <c r="L142" s="65"/>
      <c r="M142" s="35"/>
      <c r="N142" s="65"/>
    </row>
    <row r="143">
      <c r="A143" s="74"/>
      <c r="B143" s="74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35"/>
      <c r="N143" s="65"/>
    </row>
    <row r="144">
      <c r="A144" s="74"/>
      <c r="B144" s="88" t="s">
        <v>411</v>
      </c>
      <c r="C144" s="88" t="s">
        <v>412</v>
      </c>
      <c r="D144" s="88" t="s">
        <v>413</v>
      </c>
      <c r="E144" s="88" t="s">
        <v>414</v>
      </c>
      <c r="F144" s="88" t="s">
        <v>415</v>
      </c>
      <c r="G144" s="88" t="s">
        <v>416</v>
      </c>
      <c r="H144" s="65"/>
      <c r="I144" s="65"/>
      <c r="J144" s="65"/>
      <c r="K144" s="65"/>
      <c r="L144" s="65"/>
      <c r="M144" s="35"/>
      <c r="N144" s="65"/>
    </row>
    <row r="145">
      <c r="A145" s="67" t="s">
        <v>311</v>
      </c>
      <c r="B145" s="68">
        <v>119620.19</v>
      </c>
      <c r="C145" s="68">
        <v>243636.01</v>
      </c>
      <c r="D145" s="68">
        <v>301232.74</v>
      </c>
      <c r="E145" s="68">
        <v>127734.03</v>
      </c>
      <c r="F145" s="68">
        <v>118143.67</v>
      </c>
      <c r="G145" s="68">
        <v>189293.23</v>
      </c>
      <c r="H145" s="68">
        <v>1099659.87</v>
      </c>
      <c r="I145" s="69">
        <v>0.0999</v>
      </c>
      <c r="J145" s="65"/>
      <c r="K145" s="65"/>
      <c r="L145" s="65"/>
      <c r="M145" s="35"/>
      <c r="N145" s="65"/>
    </row>
    <row r="146">
      <c r="A146" s="67" t="s">
        <v>313</v>
      </c>
      <c r="B146" s="68">
        <v>0.0</v>
      </c>
      <c r="C146" s="68">
        <v>11083.02</v>
      </c>
      <c r="D146" s="68">
        <v>5176.56</v>
      </c>
      <c r="E146" s="68">
        <v>4375.82</v>
      </c>
      <c r="F146" s="68">
        <v>539.84</v>
      </c>
      <c r="G146" s="68">
        <v>174.02</v>
      </c>
      <c r="H146" s="68">
        <v>21349.26</v>
      </c>
      <c r="I146" s="69">
        <v>0.0019</v>
      </c>
      <c r="J146" s="65"/>
      <c r="K146" s="65"/>
      <c r="L146" s="65"/>
      <c r="M146" s="35"/>
      <c r="N146" s="65"/>
    </row>
    <row r="147">
      <c r="A147" s="67" t="s">
        <v>314</v>
      </c>
      <c r="B147" s="68">
        <v>119620.19</v>
      </c>
      <c r="C147" s="68">
        <v>243649.43</v>
      </c>
      <c r="D147" s="68">
        <v>301232.74</v>
      </c>
      <c r="E147" s="68">
        <v>127734.03</v>
      </c>
      <c r="F147" s="68">
        <v>118143.67</v>
      </c>
      <c r="G147" s="68">
        <v>189318.03</v>
      </c>
      <c r="H147" s="68">
        <v>1099698.09</v>
      </c>
      <c r="I147" s="69">
        <v>0.0999</v>
      </c>
      <c r="J147" s="65"/>
      <c r="K147" s="65"/>
      <c r="L147" s="65"/>
      <c r="M147" s="35"/>
      <c r="N147" s="65"/>
    </row>
    <row r="148">
      <c r="A148" s="67" t="s">
        <v>315</v>
      </c>
      <c r="B148" s="68">
        <v>119620.19</v>
      </c>
      <c r="C148" s="68">
        <v>243636.4</v>
      </c>
      <c r="D148" s="68">
        <v>301232.74</v>
      </c>
      <c r="E148" s="68">
        <v>127734.03</v>
      </c>
      <c r="F148" s="68">
        <v>118143.67</v>
      </c>
      <c r="G148" s="68">
        <v>189293.89</v>
      </c>
      <c r="H148" s="68">
        <v>1099660.92</v>
      </c>
      <c r="I148" s="69">
        <v>0.0999</v>
      </c>
      <c r="J148" s="65"/>
      <c r="K148" s="65"/>
      <c r="L148" s="65"/>
      <c r="M148" s="65"/>
      <c r="N148" s="65"/>
    </row>
    <row r="149">
      <c r="A149" s="67" t="s">
        <v>319</v>
      </c>
      <c r="B149" s="68">
        <v>119620.19</v>
      </c>
      <c r="C149" s="68">
        <v>243636.05</v>
      </c>
      <c r="D149" s="68">
        <v>301232.74</v>
      </c>
      <c r="E149" s="68">
        <v>127734.03</v>
      </c>
      <c r="F149" s="68">
        <v>118143.67</v>
      </c>
      <c r="G149" s="68">
        <v>189293.27</v>
      </c>
      <c r="H149" s="68">
        <v>1099659.95</v>
      </c>
      <c r="I149" s="69">
        <v>0.0999</v>
      </c>
      <c r="J149" s="65"/>
      <c r="K149" s="65"/>
      <c r="L149" s="65"/>
      <c r="M149" s="65"/>
      <c r="N149" s="65"/>
    </row>
    <row r="150">
      <c r="A150" s="67" t="s">
        <v>320</v>
      </c>
      <c r="B150" s="68">
        <v>119620.19</v>
      </c>
      <c r="C150" s="68">
        <v>241159.83</v>
      </c>
      <c r="D150" s="68">
        <v>301232.74</v>
      </c>
      <c r="E150" s="68">
        <v>125992.63</v>
      </c>
      <c r="F150" s="68">
        <v>117928.83</v>
      </c>
      <c r="G150" s="68">
        <v>189759.28</v>
      </c>
      <c r="H150" s="68">
        <v>1095693.5</v>
      </c>
      <c r="I150" s="69">
        <v>0.0995</v>
      </c>
      <c r="J150" s="65"/>
      <c r="K150" s="65"/>
      <c r="L150" s="65"/>
      <c r="M150" s="65"/>
      <c r="N150" s="65"/>
    </row>
    <row r="151">
      <c r="A151" s="67" t="s">
        <v>321</v>
      </c>
      <c r="B151" s="68">
        <v>119620.19</v>
      </c>
      <c r="C151" s="68">
        <v>243636.57</v>
      </c>
      <c r="D151" s="68">
        <v>301232.74</v>
      </c>
      <c r="E151" s="68">
        <v>127734.03</v>
      </c>
      <c r="F151" s="68">
        <v>118143.67</v>
      </c>
      <c r="G151" s="68">
        <v>189293.86</v>
      </c>
      <c r="H151" s="68">
        <v>1099661.06</v>
      </c>
      <c r="I151" s="69">
        <v>0.0999</v>
      </c>
      <c r="J151" s="65"/>
      <c r="K151" s="65"/>
      <c r="L151" s="65"/>
      <c r="M151" s="65"/>
      <c r="N151" s="65"/>
    </row>
    <row r="152">
      <c r="A152" s="67" t="s">
        <v>322</v>
      </c>
      <c r="B152" s="68">
        <v>119620.19</v>
      </c>
      <c r="C152" s="68">
        <v>243636.79</v>
      </c>
      <c r="D152" s="68">
        <v>301232.74</v>
      </c>
      <c r="E152" s="68">
        <v>127734.03</v>
      </c>
      <c r="F152" s="68">
        <v>118143.67</v>
      </c>
      <c r="G152" s="68">
        <v>189293.3</v>
      </c>
      <c r="H152" s="68">
        <v>1099660.72</v>
      </c>
      <c r="I152" s="69">
        <v>0.0999</v>
      </c>
      <c r="J152" s="65"/>
      <c r="K152" s="65"/>
      <c r="L152" s="65"/>
      <c r="M152" s="65"/>
      <c r="N152" s="65"/>
    </row>
    <row r="153">
      <c r="A153" s="67" t="s">
        <v>323</v>
      </c>
      <c r="B153" s="68">
        <v>119620.19</v>
      </c>
      <c r="C153" s="68">
        <v>243636.58</v>
      </c>
      <c r="D153" s="68">
        <v>301232.74</v>
      </c>
      <c r="E153" s="68">
        <v>127734.03</v>
      </c>
      <c r="F153" s="68">
        <v>118143.67</v>
      </c>
      <c r="G153" s="68">
        <v>189293.31</v>
      </c>
      <c r="H153" s="68">
        <v>1099660.52</v>
      </c>
      <c r="I153" s="69">
        <v>0.0999</v>
      </c>
      <c r="J153" s="65"/>
      <c r="K153" s="65"/>
      <c r="L153" s="65"/>
      <c r="M153" s="65"/>
      <c r="N153" s="65"/>
    </row>
    <row r="154">
      <c r="A154" s="67" t="s">
        <v>324</v>
      </c>
      <c r="B154" s="68">
        <v>119620.19</v>
      </c>
      <c r="C154" s="68">
        <v>243636.81</v>
      </c>
      <c r="D154" s="68">
        <v>301232.74</v>
      </c>
      <c r="E154" s="68">
        <v>127734.03</v>
      </c>
      <c r="F154" s="68">
        <v>118143.67</v>
      </c>
      <c r="G154" s="68">
        <v>189293.32</v>
      </c>
      <c r="H154" s="68">
        <v>1099660.76</v>
      </c>
      <c r="I154" s="69">
        <v>0.0999</v>
      </c>
      <c r="J154" s="65"/>
      <c r="K154" s="65"/>
      <c r="L154" s="65"/>
      <c r="M154" s="65"/>
      <c r="N154" s="65"/>
    </row>
    <row r="155">
      <c r="A155" s="67" t="s">
        <v>325</v>
      </c>
      <c r="B155" s="68">
        <v>119620.19</v>
      </c>
      <c r="C155" s="68">
        <v>241159.57</v>
      </c>
      <c r="D155" s="68">
        <v>301232.74</v>
      </c>
      <c r="E155" s="68">
        <v>125992.63</v>
      </c>
      <c r="F155" s="68">
        <v>117928.83</v>
      </c>
      <c r="G155" s="68">
        <v>189758.73</v>
      </c>
      <c r="H155" s="68">
        <v>1095692.69</v>
      </c>
      <c r="I155" s="69">
        <v>0.0995</v>
      </c>
      <c r="J155" s="65"/>
      <c r="K155" s="65"/>
      <c r="L155" s="65"/>
      <c r="M155" s="65"/>
      <c r="N155" s="65"/>
    </row>
    <row r="156">
      <c r="A156" s="74"/>
      <c r="B156" s="65"/>
      <c r="C156" s="65"/>
      <c r="D156" s="65"/>
      <c r="E156" s="65"/>
      <c r="F156" s="65"/>
      <c r="G156" s="65"/>
      <c r="H156" s="68">
        <v>1.101005734E7</v>
      </c>
      <c r="I156" s="69">
        <v>1.0</v>
      </c>
      <c r="J156" s="65"/>
      <c r="K156" s="65"/>
      <c r="L156" s="65"/>
      <c r="M156" s="65"/>
      <c r="N156" s="65"/>
    </row>
    <row r="157">
      <c r="A157" s="74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</row>
    <row r="158">
      <c r="A158" s="74"/>
      <c r="B158" s="90" t="s">
        <v>417</v>
      </c>
      <c r="C158" s="90" t="s">
        <v>418</v>
      </c>
      <c r="D158" s="90" t="s">
        <v>249</v>
      </c>
      <c r="E158" s="90" t="s">
        <v>419</v>
      </c>
      <c r="F158" s="90" t="s">
        <v>421</v>
      </c>
      <c r="G158" s="88" t="s">
        <v>336</v>
      </c>
      <c r="H158" s="65"/>
      <c r="I158" s="65"/>
      <c r="J158" s="65"/>
      <c r="K158" s="65"/>
      <c r="L158" s="65"/>
      <c r="M158" s="65"/>
      <c r="N158" s="65"/>
    </row>
    <row r="159">
      <c r="A159" s="67" t="s">
        <v>311</v>
      </c>
      <c r="B159" s="68">
        <v>53611.99</v>
      </c>
      <c r="C159" s="68">
        <v>293115.48</v>
      </c>
      <c r="D159" s="68">
        <v>179373.01</v>
      </c>
      <c r="E159" s="68">
        <v>130179.67</v>
      </c>
      <c r="F159" s="68">
        <v>199730.12</v>
      </c>
      <c r="G159" s="68">
        <v>124842.61</v>
      </c>
      <c r="H159" s="68">
        <v>980852.88</v>
      </c>
      <c r="I159" s="69">
        <v>0.1004</v>
      </c>
      <c r="J159" s="65"/>
      <c r="K159" s="65"/>
      <c r="L159" s="65"/>
      <c r="M159" s="65"/>
      <c r="N159" s="65"/>
    </row>
    <row r="160">
      <c r="A160" s="67" t="s">
        <v>313</v>
      </c>
      <c r="B160" s="68">
        <v>0.0</v>
      </c>
      <c r="C160" s="68">
        <v>0.0</v>
      </c>
      <c r="D160" s="68">
        <v>67406.02</v>
      </c>
      <c r="E160" s="68">
        <v>11306.63</v>
      </c>
      <c r="F160" s="68">
        <v>37957.17</v>
      </c>
      <c r="G160" s="68">
        <v>2455.02</v>
      </c>
      <c r="H160" s="68">
        <v>119124.84</v>
      </c>
      <c r="I160" s="69">
        <v>0.0</v>
      </c>
      <c r="J160" s="65"/>
      <c r="K160" s="65"/>
      <c r="L160" s="65"/>
      <c r="M160" s="65"/>
      <c r="N160" s="65"/>
    </row>
    <row r="161">
      <c r="A161" s="67" t="s">
        <v>314</v>
      </c>
      <c r="B161" s="68">
        <v>53611.99</v>
      </c>
      <c r="C161" s="68">
        <v>293115.48</v>
      </c>
      <c r="D161" s="68">
        <v>179373.03</v>
      </c>
      <c r="E161" s="68">
        <v>130179.67</v>
      </c>
      <c r="F161" s="68">
        <v>199730.12</v>
      </c>
      <c r="G161" s="68">
        <v>124841.03</v>
      </c>
      <c r="H161" s="68">
        <v>980851.32</v>
      </c>
      <c r="I161" s="69">
        <v>0.1004</v>
      </c>
      <c r="J161" s="65"/>
      <c r="K161" s="65"/>
      <c r="L161" s="65"/>
      <c r="M161" s="65"/>
      <c r="N161" s="65"/>
    </row>
    <row r="162">
      <c r="A162" s="67" t="s">
        <v>315</v>
      </c>
      <c r="B162" s="68">
        <v>53611.99</v>
      </c>
      <c r="C162" s="68">
        <v>293115.48</v>
      </c>
      <c r="D162" s="68">
        <v>179373.04</v>
      </c>
      <c r="E162" s="68">
        <v>130179.67</v>
      </c>
      <c r="F162" s="68">
        <v>199730.12</v>
      </c>
      <c r="G162" s="68">
        <v>124842.58</v>
      </c>
      <c r="H162" s="68">
        <v>980852.88</v>
      </c>
      <c r="I162" s="69">
        <v>0.1004</v>
      </c>
      <c r="J162" s="65"/>
      <c r="K162" s="65"/>
      <c r="L162" s="65"/>
      <c r="M162" s="65"/>
      <c r="N162" s="65"/>
    </row>
    <row r="163">
      <c r="A163" s="67" t="s">
        <v>319</v>
      </c>
      <c r="B163" s="68">
        <v>53611.99</v>
      </c>
      <c r="C163" s="68">
        <v>293115.48</v>
      </c>
      <c r="D163" s="68">
        <v>179373.65</v>
      </c>
      <c r="E163" s="68">
        <v>130179.67</v>
      </c>
      <c r="F163" s="68">
        <v>199730.12</v>
      </c>
      <c r="G163" s="68">
        <v>124842.65</v>
      </c>
      <c r="H163" s="68">
        <v>980853.56</v>
      </c>
      <c r="I163" s="69">
        <v>0.1004</v>
      </c>
      <c r="J163" s="65"/>
      <c r="K163" s="65"/>
      <c r="L163" s="65"/>
      <c r="M163" s="65"/>
      <c r="N163" s="65"/>
    </row>
    <row r="164">
      <c r="A164" s="67" t="s">
        <v>320</v>
      </c>
      <c r="B164" s="68">
        <v>53611.99</v>
      </c>
      <c r="C164" s="68">
        <v>293115.48</v>
      </c>
      <c r="D164" s="68">
        <v>179015.62</v>
      </c>
      <c r="E164" s="68">
        <v>125680.09</v>
      </c>
      <c r="F164" s="68">
        <v>184624.71</v>
      </c>
      <c r="G164" s="68">
        <v>123826.66</v>
      </c>
      <c r="H164" s="68">
        <v>959874.55</v>
      </c>
      <c r="I164" s="69">
        <v>0.0983</v>
      </c>
      <c r="J164" s="65"/>
      <c r="K164" s="65"/>
      <c r="L164" s="65"/>
      <c r="M164" s="65"/>
      <c r="N164" s="65"/>
    </row>
    <row r="165">
      <c r="A165" s="67" t="s">
        <v>321</v>
      </c>
      <c r="B165" s="68">
        <v>53611.99</v>
      </c>
      <c r="C165" s="68">
        <v>293115.48</v>
      </c>
      <c r="D165" s="68">
        <v>179373.07</v>
      </c>
      <c r="E165" s="68">
        <v>130179.67</v>
      </c>
      <c r="F165" s="68">
        <v>199730.12</v>
      </c>
      <c r="G165" s="68">
        <v>124843.45</v>
      </c>
      <c r="H165" s="68">
        <v>980853.78</v>
      </c>
      <c r="I165" s="69">
        <v>0.1004</v>
      </c>
      <c r="J165" s="65"/>
      <c r="K165" s="65"/>
      <c r="L165" s="65"/>
      <c r="M165" s="65"/>
      <c r="N165" s="65"/>
    </row>
    <row r="166">
      <c r="A166" s="67" t="s">
        <v>322</v>
      </c>
      <c r="B166" s="68">
        <v>53611.99</v>
      </c>
      <c r="C166" s="68">
        <v>293115.48</v>
      </c>
      <c r="D166" s="68">
        <v>179373.39</v>
      </c>
      <c r="E166" s="68">
        <v>130179.67</v>
      </c>
      <c r="F166" s="68">
        <v>199730.12</v>
      </c>
      <c r="G166" s="68">
        <v>124842.68</v>
      </c>
      <c r="H166" s="68">
        <v>980853.33</v>
      </c>
      <c r="I166" s="69">
        <v>0.1004</v>
      </c>
      <c r="J166" s="91"/>
      <c r="K166" s="91"/>
      <c r="L166" s="91"/>
      <c r="M166" s="91"/>
      <c r="N166" s="91"/>
    </row>
    <row r="167">
      <c r="A167" s="67" t="s">
        <v>323</v>
      </c>
      <c r="B167" s="68">
        <v>53611.99</v>
      </c>
      <c r="C167" s="68">
        <v>293115.48</v>
      </c>
      <c r="D167" s="68">
        <v>179373.24</v>
      </c>
      <c r="E167" s="68">
        <v>130179.67</v>
      </c>
      <c r="F167" s="68">
        <v>199730.12</v>
      </c>
      <c r="G167" s="68">
        <v>124842.69</v>
      </c>
      <c r="H167" s="68">
        <v>980853.19</v>
      </c>
      <c r="I167" s="69">
        <v>0.1004</v>
      </c>
      <c r="J167" s="65"/>
      <c r="K167" s="65"/>
      <c r="L167" s="65"/>
      <c r="M167" s="65"/>
      <c r="N167" s="65"/>
    </row>
    <row r="168">
      <c r="A168" s="67" t="s">
        <v>324</v>
      </c>
      <c r="B168" s="68">
        <v>53611.99</v>
      </c>
      <c r="C168" s="68">
        <v>293115.48</v>
      </c>
      <c r="D168" s="68">
        <v>179373.41</v>
      </c>
      <c r="E168" s="68">
        <v>130179.67</v>
      </c>
      <c r="F168" s="68">
        <v>199730.12</v>
      </c>
      <c r="G168" s="68">
        <v>124842.7</v>
      </c>
      <c r="H168" s="68">
        <v>980853.37</v>
      </c>
      <c r="I168" s="69">
        <v>0.1004</v>
      </c>
      <c r="J168" s="65"/>
      <c r="K168" s="65"/>
      <c r="L168" s="65"/>
      <c r="M168" s="65"/>
      <c r="N168" s="65"/>
    </row>
    <row r="169">
      <c r="A169" s="67" t="s">
        <v>325</v>
      </c>
      <c r="B169" s="68">
        <v>53611.99</v>
      </c>
      <c r="C169" s="68">
        <v>293115.48</v>
      </c>
      <c r="D169" s="68">
        <v>179016.11</v>
      </c>
      <c r="E169" s="68">
        <v>125680.09</v>
      </c>
      <c r="F169" s="68">
        <v>184624.71</v>
      </c>
      <c r="G169" s="68">
        <v>123826.31</v>
      </c>
      <c r="H169" s="68">
        <v>959874.69</v>
      </c>
      <c r="I169" s="69">
        <v>0.0983</v>
      </c>
      <c r="J169" s="65"/>
      <c r="K169" s="65"/>
      <c r="L169" s="65"/>
      <c r="M169" s="65"/>
      <c r="N169" s="65"/>
    </row>
    <row r="170">
      <c r="A170" s="74"/>
      <c r="B170" s="65"/>
      <c r="C170" s="65"/>
      <c r="D170" s="65"/>
      <c r="E170" s="65"/>
      <c r="F170" s="65"/>
      <c r="G170" s="65"/>
      <c r="H170" s="68">
        <v>9885698.39</v>
      </c>
      <c r="I170" s="69">
        <v>1.0</v>
      </c>
      <c r="J170" s="65"/>
      <c r="K170" s="65"/>
      <c r="L170" s="65"/>
      <c r="M170" s="65"/>
      <c r="N170" s="65"/>
    </row>
    <row r="17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</row>
    <row r="172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</row>
    <row r="173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</row>
    <row r="174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5"/>
      <c r="B1" s="66" t="s">
        <v>376</v>
      </c>
      <c r="C1" s="66" t="s">
        <v>302</v>
      </c>
      <c r="D1" s="66" t="s">
        <v>377</v>
      </c>
      <c r="E1" s="66" t="s">
        <v>301</v>
      </c>
      <c r="F1" s="65"/>
      <c r="G1" s="65"/>
      <c r="H1" s="65"/>
      <c r="I1" s="66" t="s">
        <v>378</v>
      </c>
      <c r="J1" s="66" t="s">
        <v>379</v>
      </c>
      <c r="K1" s="65"/>
      <c r="L1" s="65"/>
      <c r="M1" s="65"/>
      <c r="N1" s="66" t="s">
        <v>380</v>
      </c>
      <c r="T1" s="66" t="s">
        <v>381</v>
      </c>
    </row>
    <row r="2">
      <c r="A2" s="76" t="s">
        <v>311</v>
      </c>
      <c r="B2" s="68">
        <v>14178.01</v>
      </c>
      <c r="C2" s="68">
        <v>238694.01</v>
      </c>
      <c r="D2" s="68">
        <v>103958.01</v>
      </c>
      <c r="E2" s="68">
        <v>317338.25</v>
      </c>
      <c r="F2" s="68">
        <v>674168.28</v>
      </c>
      <c r="G2" s="69">
        <v>0.1144</v>
      </c>
      <c r="H2" s="65"/>
      <c r="I2" s="77" t="s">
        <v>311</v>
      </c>
      <c r="J2" s="69">
        <v>0.098</v>
      </c>
      <c r="K2" s="68">
        <v>937413.73</v>
      </c>
      <c r="L2" s="65"/>
      <c r="M2" s="65"/>
      <c r="N2" s="77" t="s">
        <v>311</v>
      </c>
      <c r="O2" s="69">
        <v>0.0893</v>
      </c>
      <c r="P2" s="68">
        <v>853716.07</v>
      </c>
      <c r="Q2" s="68">
        <v>83697.65</v>
      </c>
      <c r="R2" s="65"/>
      <c r="S2" s="65"/>
      <c r="T2" s="77" t="s">
        <v>311</v>
      </c>
      <c r="U2" s="69">
        <v>0.0833</v>
      </c>
      <c r="V2" s="68">
        <v>796801.67</v>
      </c>
      <c r="W2" s="68">
        <v>140612.06</v>
      </c>
    </row>
    <row r="3">
      <c r="A3" s="78" t="s">
        <v>313</v>
      </c>
      <c r="B3" s="68">
        <v>-29.98</v>
      </c>
      <c r="C3" s="68">
        <v>-10.98</v>
      </c>
      <c r="D3" s="68">
        <v>0.0</v>
      </c>
      <c r="E3" s="68">
        <v>0.0</v>
      </c>
      <c r="F3" s="68">
        <v>-40.96</v>
      </c>
      <c r="G3" s="69">
        <v>0.0</v>
      </c>
      <c r="H3" s="65"/>
      <c r="I3" s="79" t="s">
        <v>313</v>
      </c>
      <c r="J3" s="69">
        <v>0.098</v>
      </c>
      <c r="K3" s="68">
        <v>937413.73</v>
      </c>
      <c r="L3" s="65"/>
      <c r="M3" s="65"/>
      <c r="N3" s="79" t="s">
        <v>387</v>
      </c>
      <c r="O3" s="69">
        <v>0.0893</v>
      </c>
      <c r="P3" s="68">
        <v>853716.07</v>
      </c>
      <c r="Q3" s="68">
        <v>83697.65</v>
      </c>
      <c r="R3" s="65"/>
      <c r="S3" s="65"/>
      <c r="T3" s="79" t="s">
        <v>387</v>
      </c>
      <c r="U3" s="69">
        <v>0.0833</v>
      </c>
      <c r="V3" s="68">
        <v>796801.67</v>
      </c>
      <c r="W3" s="68">
        <v>140612.06</v>
      </c>
    </row>
    <row r="4">
      <c r="A4" s="78" t="s">
        <v>315</v>
      </c>
      <c r="B4" s="68">
        <v>14178.03</v>
      </c>
      <c r="C4" s="68">
        <v>238694.03</v>
      </c>
      <c r="D4" s="68">
        <v>103958.01</v>
      </c>
      <c r="E4" s="68">
        <v>317338.25</v>
      </c>
      <c r="F4" s="68">
        <v>674168.32</v>
      </c>
      <c r="G4" s="69">
        <v>0.1144</v>
      </c>
      <c r="H4" s="65"/>
      <c r="I4" s="79" t="s">
        <v>315</v>
      </c>
      <c r="J4" s="69">
        <v>0.098</v>
      </c>
      <c r="K4" s="68">
        <v>937413.73</v>
      </c>
      <c r="L4" s="70"/>
      <c r="M4" s="65"/>
      <c r="N4" s="79" t="s">
        <v>315</v>
      </c>
      <c r="O4" s="69">
        <v>0.0893</v>
      </c>
      <c r="P4" s="68">
        <v>853716.07</v>
      </c>
      <c r="Q4" s="68">
        <v>83697.65</v>
      </c>
      <c r="R4" s="80"/>
      <c r="S4" s="80"/>
      <c r="T4" s="79" t="s">
        <v>315</v>
      </c>
      <c r="U4" s="69">
        <v>0.0833</v>
      </c>
      <c r="V4" s="68">
        <v>796801.67</v>
      </c>
      <c r="W4" s="68">
        <v>140612.06</v>
      </c>
    </row>
    <row r="5">
      <c r="A5" s="78" t="s">
        <v>319</v>
      </c>
      <c r="B5" s="68">
        <v>14178.04</v>
      </c>
      <c r="C5" s="68">
        <v>238694.04</v>
      </c>
      <c r="D5" s="68">
        <v>103958.01</v>
      </c>
      <c r="E5" s="68">
        <v>317338.25</v>
      </c>
      <c r="F5" s="68">
        <v>674168.34</v>
      </c>
      <c r="G5" s="69">
        <v>0.1144</v>
      </c>
      <c r="H5" s="65"/>
      <c r="I5" s="79" t="s">
        <v>319</v>
      </c>
      <c r="J5" s="69">
        <v>0.098</v>
      </c>
      <c r="K5" s="68">
        <v>937413.73</v>
      </c>
      <c r="L5" s="81"/>
      <c r="M5" s="81"/>
      <c r="N5" s="79" t="s">
        <v>319</v>
      </c>
      <c r="O5" s="69">
        <v>0.0893</v>
      </c>
      <c r="P5" s="68">
        <v>853716.07</v>
      </c>
      <c r="Q5" s="68">
        <v>83697.65</v>
      </c>
      <c r="R5" s="81"/>
      <c r="S5" s="81"/>
      <c r="T5" s="79" t="s">
        <v>319</v>
      </c>
      <c r="U5" s="69">
        <v>0.0833</v>
      </c>
      <c r="V5" s="68">
        <v>796801.67</v>
      </c>
      <c r="W5" s="68">
        <v>140612.06</v>
      </c>
    </row>
    <row r="6">
      <c r="A6" s="78" t="s">
        <v>320</v>
      </c>
      <c r="B6" s="68">
        <v>10049.05</v>
      </c>
      <c r="C6" s="68">
        <v>161627.05</v>
      </c>
      <c r="D6" s="68">
        <v>62375.92</v>
      </c>
      <c r="E6" s="68">
        <v>190392.33</v>
      </c>
      <c r="F6" s="68">
        <v>424444.35</v>
      </c>
      <c r="G6" s="69">
        <v>0.072</v>
      </c>
      <c r="H6" s="65"/>
      <c r="I6" s="79" t="s">
        <v>320</v>
      </c>
      <c r="J6" s="69">
        <v>0.0588</v>
      </c>
      <c r="K6" s="68">
        <v>562448.24</v>
      </c>
      <c r="L6" s="65"/>
      <c r="M6" s="65"/>
      <c r="N6" s="79" t="s">
        <v>320</v>
      </c>
      <c r="O6" s="69">
        <v>0.0536</v>
      </c>
      <c r="P6" s="68">
        <v>512229.64</v>
      </c>
      <c r="Q6" s="68">
        <v>50218.59</v>
      </c>
      <c r="R6" s="65"/>
      <c r="S6" s="65"/>
      <c r="T6" s="79" t="s">
        <v>320</v>
      </c>
      <c r="U6" s="69">
        <v>0.0833</v>
      </c>
      <c r="V6" s="68">
        <v>796801.67</v>
      </c>
      <c r="W6" s="68">
        <v>-234353.43</v>
      </c>
    </row>
    <row r="7">
      <c r="A7" s="78" t="s">
        <v>321</v>
      </c>
      <c r="B7" s="68">
        <v>14178.06</v>
      </c>
      <c r="C7" s="68">
        <v>238694.06</v>
      </c>
      <c r="D7" s="68">
        <v>103958.01</v>
      </c>
      <c r="E7" s="68">
        <v>317338.25</v>
      </c>
      <c r="F7" s="68">
        <v>674168.38</v>
      </c>
      <c r="G7" s="69">
        <v>0.1144</v>
      </c>
      <c r="H7" s="65"/>
      <c r="I7" s="79" t="s">
        <v>321</v>
      </c>
      <c r="J7" s="69">
        <v>0.098</v>
      </c>
      <c r="K7" s="68">
        <v>937413.73</v>
      </c>
      <c r="L7" s="65"/>
      <c r="M7" s="65"/>
      <c r="N7" s="79" t="s">
        <v>321</v>
      </c>
      <c r="O7" s="69">
        <v>0.0893</v>
      </c>
      <c r="P7" s="68">
        <v>853716.07</v>
      </c>
      <c r="Q7" s="68">
        <v>83697.65</v>
      </c>
      <c r="R7" s="65"/>
      <c r="S7" s="65"/>
      <c r="T7" s="79" t="s">
        <v>321</v>
      </c>
      <c r="U7" s="69">
        <v>0.0833</v>
      </c>
      <c r="V7" s="68">
        <v>796801.67</v>
      </c>
      <c r="W7" s="68">
        <v>140612.06</v>
      </c>
    </row>
    <row r="8">
      <c r="A8" s="78" t="s">
        <v>322</v>
      </c>
      <c r="B8" s="68">
        <v>14178.07</v>
      </c>
      <c r="C8" s="68">
        <v>238694.07</v>
      </c>
      <c r="D8" s="68">
        <v>103958.01</v>
      </c>
      <c r="E8" s="68">
        <v>317338.25</v>
      </c>
      <c r="F8" s="68">
        <v>674168.4</v>
      </c>
      <c r="G8" s="69">
        <v>0.1144</v>
      </c>
      <c r="H8" s="65"/>
      <c r="I8" s="79" t="s">
        <v>322</v>
      </c>
      <c r="J8" s="69">
        <v>0.098</v>
      </c>
      <c r="K8" s="68">
        <v>937413.73</v>
      </c>
      <c r="L8" s="65"/>
      <c r="M8" s="65"/>
      <c r="N8" s="79" t="s">
        <v>322</v>
      </c>
      <c r="O8" s="69">
        <v>0.0893</v>
      </c>
      <c r="P8" s="68">
        <v>853716.07</v>
      </c>
      <c r="Q8" s="68">
        <v>83697.65</v>
      </c>
      <c r="R8" s="65"/>
      <c r="S8" s="65"/>
      <c r="T8" s="79" t="s">
        <v>322</v>
      </c>
      <c r="U8" s="69">
        <v>0.0833</v>
      </c>
      <c r="V8" s="68">
        <v>796801.67</v>
      </c>
      <c r="W8" s="68">
        <v>140612.06</v>
      </c>
    </row>
    <row r="9">
      <c r="A9" s="78" t="s">
        <v>323</v>
      </c>
      <c r="B9" s="68">
        <v>14178.08</v>
      </c>
      <c r="C9" s="68">
        <v>238694.08</v>
      </c>
      <c r="D9" s="68">
        <v>103958.01</v>
      </c>
      <c r="E9" s="68">
        <v>317338.25</v>
      </c>
      <c r="F9" s="68">
        <v>674168.42</v>
      </c>
      <c r="G9" s="69">
        <v>0.1144</v>
      </c>
      <c r="H9" s="65"/>
      <c r="I9" s="79" t="s">
        <v>323</v>
      </c>
      <c r="J9" s="69">
        <v>0.098</v>
      </c>
      <c r="K9" s="68">
        <v>937413.73</v>
      </c>
      <c r="L9" s="65"/>
      <c r="M9" s="65"/>
      <c r="N9" s="79" t="s">
        <v>323</v>
      </c>
      <c r="O9" s="69">
        <v>0.0893</v>
      </c>
      <c r="P9" s="68">
        <v>853716.07</v>
      </c>
      <c r="Q9" s="68">
        <v>83697.65</v>
      </c>
      <c r="R9" s="65"/>
      <c r="S9" s="65"/>
      <c r="T9" s="79" t="s">
        <v>323</v>
      </c>
      <c r="U9" s="69">
        <v>0.0833</v>
      </c>
      <c r="V9" s="68">
        <v>796801.67</v>
      </c>
      <c r="W9" s="68">
        <v>140612.06</v>
      </c>
    </row>
    <row r="10">
      <c r="A10" s="78" t="s">
        <v>398</v>
      </c>
      <c r="B10" s="68">
        <v>4591.09</v>
      </c>
      <c r="C10" s="68">
        <v>90950.09</v>
      </c>
      <c r="D10" s="68">
        <v>57405.01</v>
      </c>
      <c r="E10" s="68">
        <v>77865.02</v>
      </c>
      <c r="F10" s="68">
        <v>230811.21</v>
      </c>
      <c r="G10" s="69">
        <v>0.0392</v>
      </c>
      <c r="H10" s="65"/>
      <c r="I10" s="79" t="s">
        <v>324</v>
      </c>
      <c r="J10" s="69">
        <v>0.098</v>
      </c>
      <c r="K10" s="68">
        <v>937413.73</v>
      </c>
      <c r="L10" s="65"/>
      <c r="M10" s="65"/>
      <c r="N10" s="79" t="s">
        <v>324</v>
      </c>
      <c r="O10" s="69">
        <v>0.0893</v>
      </c>
      <c r="P10" s="68">
        <v>853716.07</v>
      </c>
      <c r="Q10" s="68">
        <v>83697.65</v>
      </c>
      <c r="R10" s="65"/>
      <c r="S10" s="65"/>
      <c r="T10" s="79" t="s">
        <v>324</v>
      </c>
      <c r="U10" s="69">
        <v>0.0833</v>
      </c>
      <c r="V10" s="68">
        <v>796801.67</v>
      </c>
      <c r="W10" s="68">
        <v>140612.06</v>
      </c>
    </row>
    <row r="11">
      <c r="A11" s="78" t="s">
        <v>324</v>
      </c>
      <c r="B11" s="68">
        <v>14178.1</v>
      </c>
      <c r="C11" s="68">
        <v>238694.1</v>
      </c>
      <c r="D11" s="68">
        <v>103958.01</v>
      </c>
      <c r="E11" s="68">
        <v>317338.25</v>
      </c>
      <c r="F11" s="68">
        <v>674168.46</v>
      </c>
      <c r="G11" s="69">
        <v>0.1144</v>
      </c>
      <c r="H11" s="65"/>
      <c r="I11" s="79" t="s">
        <v>325</v>
      </c>
      <c r="J11" s="69">
        <v>0.0588</v>
      </c>
      <c r="K11" s="68">
        <v>562448.24</v>
      </c>
      <c r="L11" s="65"/>
      <c r="M11" s="65"/>
      <c r="N11" s="79" t="s">
        <v>325</v>
      </c>
      <c r="O11" s="69">
        <v>0.0536</v>
      </c>
      <c r="P11" s="68">
        <v>512229.64</v>
      </c>
      <c r="Q11" s="68">
        <v>50218.59</v>
      </c>
      <c r="R11" s="65"/>
      <c r="S11" s="65"/>
      <c r="T11" s="79" t="s">
        <v>325</v>
      </c>
      <c r="U11" s="69">
        <v>0.0833</v>
      </c>
      <c r="V11" s="68">
        <v>796801.67</v>
      </c>
      <c r="W11" s="68">
        <v>-234353.43</v>
      </c>
    </row>
    <row r="12">
      <c r="A12" s="83" t="s">
        <v>325</v>
      </c>
      <c r="B12" s="68">
        <v>11133.11</v>
      </c>
      <c r="C12" s="68">
        <v>178071.11</v>
      </c>
      <c r="D12" s="68">
        <v>65690.81</v>
      </c>
      <c r="E12" s="68">
        <v>265432.04</v>
      </c>
      <c r="F12" s="68">
        <v>520327.07</v>
      </c>
      <c r="G12" s="69">
        <v>0.0883</v>
      </c>
      <c r="H12" s="65"/>
      <c r="I12" s="79" t="s">
        <v>399</v>
      </c>
      <c r="J12" s="69">
        <v>0.098</v>
      </c>
      <c r="K12" s="68">
        <v>937413.73</v>
      </c>
      <c r="L12" s="65"/>
      <c r="M12" s="65"/>
      <c r="N12" s="79" t="s">
        <v>399</v>
      </c>
      <c r="O12" s="69">
        <v>0.0893</v>
      </c>
      <c r="P12" s="68">
        <v>853716.07</v>
      </c>
      <c r="Q12" s="68">
        <v>83697.65</v>
      </c>
      <c r="R12" s="65"/>
      <c r="S12" s="65"/>
      <c r="T12" s="79" t="s">
        <v>399</v>
      </c>
      <c r="U12" s="69">
        <v>0.0833</v>
      </c>
      <c r="V12" s="68">
        <v>796801.67</v>
      </c>
      <c r="W12" s="68">
        <v>140612.06</v>
      </c>
    </row>
    <row r="13">
      <c r="A13" s="65"/>
      <c r="B13" s="68">
        <v>124989.66</v>
      </c>
      <c r="C13" s="68">
        <v>2101495.66</v>
      </c>
      <c r="D13" s="68">
        <v>913177.81</v>
      </c>
      <c r="E13" s="68">
        <v>2755057.14</v>
      </c>
      <c r="F13" s="68">
        <v>5894720.27</v>
      </c>
      <c r="G13" s="84">
        <v>1.0</v>
      </c>
      <c r="H13" s="65"/>
      <c r="I13" s="65"/>
      <c r="J13" s="69">
        <v>1.0</v>
      </c>
      <c r="K13" s="68">
        <v>9561620.03</v>
      </c>
      <c r="L13" s="68">
        <v>8.605458027E7</v>
      </c>
      <c r="M13" s="65"/>
      <c r="N13" s="85" t="s">
        <v>400</v>
      </c>
      <c r="O13" s="69">
        <v>0.0893</v>
      </c>
      <c r="P13" s="68">
        <v>853716.07</v>
      </c>
      <c r="Q13" s="65"/>
      <c r="R13" s="65"/>
      <c r="S13" s="65"/>
      <c r="T13" s="85" t="s">
        <v>400</v>
      </c>
      <c r="U13" s="69">
        <v>0.0833</v>
      </c>
      <c r="V13" s="68">
        <v>796801.67</v>
      </c>
      <c r="W13" s="65"/>
    </row>
    <row r="14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9">
        <v>1.0</v>
      </c>
      <c r="P14" s="68">
        <v>9561620.03</v>
      </c>
      <c r="Q14" s="65"/>
      <c r="R14" s="65"/>
      <c r="S14" s="65"/>
      <c r="T14" s="65"/>
      <c r="U14" s="69">
        <v>1.0</v>
      </c>
      <c r="V14" s="68">
        <v>9561620.03</v>
      </c>
      <c r="W14" s="65"/>
    </row>
    <row r="15">
      <c r="A15" s="65"/>
      <c r="B15" s="66" t="s">
        <v>48</v>
      </c>
      <c r="C15" s="66" t="s">
        <v>330</v>
      </c>
      <c r="D15" s="86" t="s">
        <v>407</v>
      </c>
      <c r="E15" s="66" t="s">
        <v>408</v>
      </c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</row>
    <row r="16">
      <c r="A16" s="76" t="s">
        <v>311</v>
      </c>
      <c r="B16" s="68">
        <v>74265.01</v>
      </c>
      <c r="C16" s="68">
        <v>240914.01</v>
      </c>
      <c r="D16" s="87">
        <v>285304.08</v>
      </c>
      <c r="E16" s="68">
        <v>173551.2072</v>
      </c>
      <c r="F16" s="87">
        <v>774034.31</v>
      </c>
      <c r="G16" s="69">
        <v>0.1124</v>
      </c>
      <c r="H16" s="65"/>
      <c r="I16" s="68">
        <v>1.0</v>
      </c>
      <c r="J16" s="68">
        <v>2.0</v>
      </c>
      <c r="K16" s="68">
        <v>3.0</v>
      </c>
      <c r="L16" s="68">
        <v>4.0</v>
      </c>
      <c r="M16" s="68">
        <v>5.0</v>
      </c>
      <c r="N16" s="68">
        <v>6.0</v>
      </c>
      <c r="O16" s="68">
        <v>7.0</v>
      </c>
      <c r="P16" s="65"/>
      <c r="Q16" s="65"/>
      <c r="R16" s="65"/>
      <c r="S16" s="65"/>
      <c r="T16" s="65"/>
      <c r="U16" s="65"/>
      <c r="V16" s="65"/>
      <c r="W16" s="65"/>
    </row>
    <row r="17">
      <c r="A17" s="78" t="s">
        <v>313</v>
      </c>
      <c r="B17" s="68">
        <v>24514.02</v>
      </c>
      <c r="C17" s="68">
        <v>1.02</v>
      </c>
      <c r="D17" s="87">
        <v>154818.88</v>
      </c>
      <c r="E17" s="68">
        <v>37671.38506</v>
      </c>
      <c r="F17" s="87">
        <v>217005.31</v>
      </c>
      <c r="G17" s="69">
        <v>0.0315</v>
      </c>
      <c r="H17" s="66" t="s">
        <v>409</v>
      </c>
      <c r="I17" s="68">
        <v>0.0</v>
      </c>
      <c r="J17" s="68">
        <v>0.0</v>
      </c>
      <c r="K17" s="69">
        <v>0.0315</v>
      </c>
      <c r="L17" s="69">
        <v>0.0563</v>
      </c>
      <c r="M17" s="69">
        <v>0.0688</v>
      </c>
      <c r="N17" s="69">
        <v>0.0986</v>
      </c>
      <c r="O17" s="69">
        <v>0.1079</v>
      </c>
      <c r="P17" s="65"/>
      <c r="Q17" s="65"/>
      <c r="R17" s="65"/>
      <c r="S17" s="65"/>
      <c r="T17" s="65"/>
      <c r="U17" s="65"/>
      <c r="V17" s="65"/>
      <c r="W17" s="65"/>
    </row>
    <row r="18">
      <c r="A18" s="78" t="s">
        <v>315</v>
      </c>
      <c r="B18" s="68">
        <v>74265.03</v>
      </c>
      <c r="C18" s="68">
        <v>240914.03</v>
      </c>
      <c r="D18" s="87">
        <v>285304.08</v>
      </c>
      <c r="E18" s="68">
        <v>173551.2072</v>
      </c>
      <c r="F18" s="87">
        <v>774034.35</v>
      </c>
      <c r="G18" s="69">
        <v>0.1124</v>
      </c>
      <c r="H18" s="66" t="s">
        <v>410</v>
      </c>
      <c r="I18" s="84">
        <v>0.0</v>
      </c>
      <c r="J18" s="84">
        <v>0.0</v>
      </c>
      <c r="K18" s="69">
        <v>0.0149</v>
      </c>
      <c r="L18" s="69">
        <v>0.0357</v>
      </c>
      <c r="M18" s="69">
        <v>0.0674</v>
      </c>
      <c r="N18" s="65"/>
      <c r="O18" s="65"/>
      <c r="P18" s="65"/>
      <c r="Q18" s="65"/>
      <c r="R18" s="65"/>
      <c r="S18" s="65"/>
      <c r="T18" s="65"/>
      <c r="U18" s="65"/>
      <c r="V18" s="65"/>
      <c r="W18" s="65"/>
    </row>
    <row r="19">
      <c r="A19" s="78" t="s">
        <v>319</v>
      </c>
      <c r="B19" s="68">
        <v>74265.04</v>
      </c>
      <c r="C19" s="68">
        <v>240914.04</v>
      </c>
      <c r="D19" s="87">
        <v>285304.08</v>
      </c>
      <c r="E19" s="68">
        <v>173551.2072</v>
      </c>
      <c r="F19" s="87">
        <v>774034.37</v>
      </c>
      <c r="G19" s="69">
        <v>0.1124</v>
      </c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</row>
    <row r="20">
      <c r="A20" s="78" t="s">
        <v>320</v>
      </c>
      <c r="B20" s="68">
        <v>43939.05</v>
      </c>
      <c r="C20" s="68">
        <v>148313.05</v>
      </c>
      <c r="D20" s="87">
        <v>171155.45</v>
      </c>
      <c r="E20" s="68">
        <v>104126.1847</v>
      </c>
      <c r="F20" s="87">
        <v>467533.73</v>
      </c>
      <c r="G20" s="69">
        <v>0.0679</v>
      </c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</row>
    <row r="21">
      <c r="A21" s="78" t="s">
        <v>321</v>
      </c>
      <c r="B21" s="68">
        <v>74265.06</v>
      </c>
      <c r="C21" s="68">
        <v>240914.06</v>
      </c>
      <c r="D21" s="87">
        <v>285304.08</v>
      </c>
      <c r="E21" s="68">
        <v>173551.2072</v>
      </c>
      <c r="F21" s="87">
        <v>774034.41</v>
      </c>
      <c r="G21" s="69">
        <v>0.1124</v>
      </c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</row>
    <row r="22">
      <c r="A22" s="78" t="s">
        <v>322</v>
      </c>
      <c r="B22" s="68">
        <v>74265.07</v>
      </c>
      <c r="C22" s="68">
        <v>240914.07</v>
      </c>
      <c r="D22" s="87">
        <v>285304.08</v>
      </c>
      <c r="E22" s="68">
        <v>173551.2072</v>
      </c>
      <c r="F22" s="87">
        <v>774034.43</v>
      </c>
      <c r="G22" s="69">
        <v>0.1124</v>
      </c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</row>
    <row r="23">
      <c r="A23" s="78" t="s">
        <v>323</v>
      </c>
      <c r="B23" s="68">
        <v>74265.08</v>
      </c>
      <c r="C23" s="68">
        <v>240914.08</v>
      </c>
      <c r="D23" s="87">
        <v>285304.08</v>
      </c>
      <c r="E23" s="68">
        <v>173551.2072</v>
      </c>
      <c r="F23" s="87">
        <v>774034.45</v>
      </c>
      <c r="G23" s="69">
        <v>0.1124</v>
      </c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</row>
    <row r="24">
      <c r="A24" s="78" t="s">
        <v>398</v>
      </c>
      <c r="B24" s="68">
        <v>35239.09</v>
      </c>
      <c r="C24" s="68">
        <v>97727.09</v>
      </c>
      <c r="D24" s="89">
        <v>72708.32</v>
      </c>
      <c r="E24" s="68">
        <v>81530.28489</v>
      </c>
      <c r="F24" s="87">
        <v>287204.78</v>
      </c>
      <c r="G24" s="69">
        <v>0.0417</v>
      </c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</row>
    <row r="25">
      <c r="A25" s="78" t="s">
        <v>324</v>
      </c>
      <c r="B25" s="68">
        <v>74265.1</v>
      </c>
      <c r="C25" s="68">
        <v>240914.1</v>
      </c>
      <c r="D25" s="87">
        <v>285304.08</v>
      </c>
      <c r="E25" s="68">
        <v>173551.2072</v>
      </c>
      <c r="F25" s="87">
        <v>774034.49</v>
      </c>
      <c r="G25" s="69">
        <v>0.1124</v>
      </c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</row>
    <row r="26">
      <c r="A26" s="83" t="s">
        <v>325</v>
      </c>
      <c r="B26" s="68">
        <v>40952.11</v>
      </c>
      <c r="C26" s="68">
        <v>175766.11</v>
      </c>
      <c r="D26" s="89">
        <v>174879.38</v>
      </c>
      <c r="E26" s="68">
        <v>104126.1847</v>
      </c>
      <c r="F26" s="87">
        <v>495723.78</v>
      </c>
      <c r="G26" s="69">
        <v>0.072</v>
      </c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</row>
    <row r="27">
      <c r="A27" s="65"/>
      <c r="B27" s="68">
        <v>664499.66</v>
      </c>
      <c r="C27" s="68">
        <v>2108205.66</v>
      </c>
      <c r="D27" s="68">
        <v>2570690.59</v>
      </c>
      <c r="E27" s="68">
        <v>1542312.49</v>
      </c>
      <c r="F27" s="87">
        <v>6885708.4</v>
      </c>
      <c r="G27" s="69">
        <v>1.0</v>
      </c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</row>
    <row r="28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</row>
    <row r="29">
      <c r="A29" s="65"/>
      <c r="B29" s="66" t="s">
        <v>420</v>
      </c>
      <c r="C29" s="66" t="s">
        <v>342</v>
      </c>
      <c r="D29" s="86" t="s">
        <v>422</v>
      </c>
      <c r="E29" s="66" t="s">
        <v>423</v>
      </c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</row>
    <row r="30">
      <c r="A30" s="76" t="s">
        <v>311</v>
      </c>
      <c r="B30" s="68">
        <v>142558.01</v>
      </c>
      <c r="C30" s="68">
        <v>159986.35</v>
      </c>
      <c r="D30" s="68">
        <v>392671.455</v>
      </c>
      <c r="E30" s="68">
        <v>117325.6985</v>
      </c>
      <c r="F30" s="68">
        <v>812541.513</v>
      </c>
      <c r="G30" s="69">
        <v>0.1116</v>
      </c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</row>
    <row r="31">
      <c r="A31" s="78" t="s">
        <v>313</v>
      </c>
      <c r="B31" s="68">
        <v>77712.43</v>
      </c>
      <c r="C31" s="68">
        <v>67350.02</v>
      </c>
      <c r="D31" s="68">
        <v>223131.822</v>
      </c>
      <c r="E31" s="68">
        <v>42161.544</v>
      </c>
      <c r="F31" s="68">
        <v>410355.816</v>
      </c>
      <c r="G31" s="69">
        <v>0.0563</v>
      </c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</row>
    <row r="32">
      <c r="A32" s="78" t="s">
        <v>315</v>
      </c>
      <c r="B32" s="68">
        <v>142558.03</v>
      </c>
      <c r="C32" s="68">
        <v>159986.03</v>
      </c>
      <c r="D32" s="68">
        <v>392671.455</v>
      </c>
      <c r="E32" s="68">
        <v>117325.6985</v>
      </c>
      <c r="F32" s="68">
        <v>812541.213</v>
      </c>
      <c r="G32" s="69">
        <v>0.1116</v>
      </c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</row>
    <row r="33">
      <c r="A33" s="78" t="s">
        <v>319</v>
      </c>
      <c r="B33" s="68">
        <v>130743.04</v>
      </c>
      <c r="C33" s="68">
        <v>159748.63</v>
      </c>
      <c r="D33" s="68">
        <v>392671.455</v>
      </c>
      <c r="E33" s="68">
        <v>117325.6985</v>
      </c>
      <c r="F33" s="68">
        <v>800488.823</v>
      </c>
      <c r="G33" s="69">
        <v>0.1099</v>
      </c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</row>
    <row r="34">
      <c r="A34" s="78" t="s">
        <v>320</v>
      </c>
      <c r="B34" s="68">
        <v>92307.05</v>
      </c>
      <c r="C34" s="68">
        <v>98869.05</v>
      </c>
      <c r="D34" s="68">
        <v>235564.484</v>
      </c>
      <c r="E34" s="68">
        <v>70388.67248</v>
      </c>
      <c r="F34" s="68">
        <v>497129.257</v>
      </c>
      <c r="G34" s="69">
        <v>0.0683</v>
      </c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</row>
    <row r="35">
      <c r="A35" s="78" t="s">
        <v>321</v>
      </c>
      <c r="B35" s="68">
        <v>142558.06</v>
      </c>
      <c r="C35" s="68">
        <v>159986.06</v>
      </c>
      <c r="D35" s="68">
        <v>392671.455</v>
      </c>
      <c r="E35" s="68">
        <v>117325.6985</v>
      </c>
      <c r="F35" s="68">
        <v>812541.273</v>
      </c>
      <c r="G35" s="69">
        <v>0.1116</v>
      </c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</row>
    <row r="36">
      <c r="A36" s="78" t="s">
        <v>322</v>
      </c>
      <c r="B36" s="68">
        <v>130743.07</v>
      </c>
      <c r="C36" s="68">
        <v>159986.07</v>
      </c>
      <c r="D36" s="68">
        <v>392671.455</v>
      </c>
      <c r="E36" s="68">
        <v>117325.6985</v>
      </c>
      <c r="F36" s="68">
        <v>800726.293</v>
      </c>
      <c r="G36" s="69">
        <v>0.1099</v>
      </c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</row>
    <row r="37">
      <c r="A37" s="78" t="s">
        <v>323</v>
      </c>
      <c r="B37" s="68">
        <v>142558.08</v>
      </c>
      <c r="C37" s="68">
        <v>159986.08</v>
      </c>
      <c r="D37" s="68">
        <v>392671.455</v>
      </c>
      <c r="E37" s="68">
        <v>117325.6985</v>
      </c>
      <c r="F37" s="68">
        <v>812541.313</v>
      </c>
      <c r="G37" s="69">
        <v>0.1116</v>
      </c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</row>
    <row r="38">
      <c r="A38" s="78" t="s">
        <v>398</v>
      </c>
      <c r="B38" s="68">
        <v>31632.09</v>
      </c>
      <c r="C38" s="68">
        <v>50875.09</v>
      </c>
      <c r="D38" s="68">
        <v>99518.6186</v>
      </c>
      <c r="E38" s="68">
        <v>42931.88171</v>
      </c>
      <c r="F38" s="68">
        <v>224957.68</v>
      </c>
      <c r="G38" s="69">
        <v>0.0309</v>
      </c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</row>
    <row r="39">
      <c r="A39" s="78" t="s">
        <v>324</v>
      </c>
      <c r="B39" s="68">
        <v>130743.1</v>
      </c>
      <c r="C39" s="68">
        <v>159986.1</v>
      </c>
      <c r="D39" s="68">
        <v>392671.455</v>
      </c>
      <c r="E39" s="68">
        <v>117325.6985</v>
      </c>
      <c r="F39" s="68">
        <v>800726.353</v>
      </c>
      <c r="G39" s="69">
        <v>0.1099</v>
      </c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</row>
    <row r="40">
      <c r="A40" s="83" t="s">
        <v>325</v>
      </c>
      <c r="B40" s="68">
        <v>90388.11</v>
      </c>
      <c r="C40" s="68">
        <v>99135.11</v>
      </c>
      <c r="D40" s="68">
        <v>237036.791</v>
      </c>
      <c r="E40" s="68">
        <v>71834.16798</v>
      </c>
      <c r="F40" s="68">
        <v>498394.179</v>
      </c>
      <c r="G40" s="69">
        <v>0.0684</v>
      </c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</row>
    <row r="41">
      <c r="A41" s="65"/>
      <c r="B41" s="68">
        <v>1254501.07</v>
      </c>
      <c r="C41" s="68">
        <v>1435894.59</v>
      </c>
      <c r="D41" s="68">
        <v>3543951.9</v>
      </c>
      <c r="E41" s="68">
        <v>1048596.156</v>
      </c>
      <c r="F41" s="68">
        <v>7282943.71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</row>
    <row r="4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</row>
    <row r="43">
      <c r="A43" s="65"/>
      <c r="B43" s="66" t="s">
        <v>430</v>
      </c>
      <c r="C43" s="66" t="s">
        <v>431</v>
      </c>
      <c r="D43" s="86" t="s">
        <v>432</v>
      </c>
      <c r="E43" s="66" t="s">
        <v>151</v>
      </c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</row>
    <row r="44">
      <c r="A44" s="76" t="s">
        <v>311</v>
      </c>
      <c r="B44" s="68">
        <v>76244.35</v>
      </c>
      <c r="C44" s="68">
        <v>153900.01</v>
      </c>
      <c r="D44" s="87">
        <v>349807.69</v>
      </c>
      <c r="E44" s="87">
        <v>49573.33941</v>
      </c>
      <c r="F44" s="68">
        <v>629525.39</v>
      </c>
      <c r="G44" s="69">
        <v>0.1105</v>
      </c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</row>
    <row r="45">
      <c r="A45" s="78" t="s">
        <v>313</v>
      </c>
      <c r="B45" s="68">
        <v>93454.02</v>
      </c>
      <c r="C45" s="87">
        <v>78302.02</v>
      </c>
      <c r="D45" s="87">
        <v>173989.582</v>
      </c>
      <c r="E45" s="87">
        <v>46305.13039</v>
      </c>
      <c r="F45" s="68">
        <v>392050.75</v>
      </c>
      <c r="G45" s="69">
        <v>0.0688</v>
      </c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</row>
    <row r="46">
      <c r="A46" s="78" t="s">
        <v>315</v>
      </c>
      <c r="B46" s="68">
        <v>75934.03</v>
      </c>
      <c r="C46" s="87">
        <v>153900.03</v>
      </c>
      <c r="D46" s="87">
        <v>349807.69</v>
      </c>
      <c r="E46" s="87">
        <v>49573.33941</v>
      </c>
      <c r="F46" s="68">
        <v>629215.09</v>
      </c>
      <c r="G46" s="69">
        <v>0.1105</v>
      </c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</row>
    <row r="47">
      <c r="A47" s="78" t="s">
        <v>319</v>
      </c>
      <c r="B47" s="68">
        <v>76427.04</v>
      </c>
      <c r="C47" s="87">
        <v>153979.04</v>
      </c>
      <c r="D47" s="87">
        <v>349807.69</v>
      </c>
      <c r="E47" s="87">
        <v>49573.33941</v>
      </c>
      <c r="F47" s="68">
        <v>629787.11</v>
      </c>
      <c r="G47" s="69">
        <v>0.1106</v>
      </c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</row>
    <row r="48">
      <c r="A48" s="78" t="s">
        <v>320</v>
      </c>
      <c r="B48" s="68">
        <v>42470.05</v>
      </c>
      <c r="C48" s="87">
        <v>89152.05</v>
      </c>
      <c r="D48" s="87">
        <v>209855.696</v>
      </c>
      <c r="E48" s="87">
        <v>29735.54137</v>
      </c>
      <c r="F48" s="68">
        <v>371213.34</v>
      </c>
      <c r="G48" s="69">
        <v>0.0652</v>
      </c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</row>
    <row r="49">
      <c r="A49" s="78" t="s">
        <v>321</v>
      </c>
      <c r="B49" s="68">
        <v>75934.06</v>
      </c>
      <c r="C49" s="87">
        <v>153900.06</v>
      </c>
      <c r="D49" s="87">
        <v>349807.69</v>
      </c>
      <c r="E49" s="87">
        <v>49573.33941</v>
      </c>
      <c r="F49" s="68">
        <v>629215.15</v>
      </c>
      <c r="G49" s="69">
        <v>0.1105</v>
      </c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</row>
    <row r="50">
      <c r="A50" s="78" t="s">
        <v>322</v>
      </c>
      <c r="B50" s="68">
        <v>76418.07</v>
      </c>
      <c r="C50" s="87">
        <v>153978.07</v>
      </c>
      <c r="D50" s="87">
        <v>349807.69</v>
      </c>
      <c r="E50" s="87">
        <v>49573.33941</v>
      </c>
      <c r="F50" s="68">
        <v>629777.17</v>
      </c>
      <c r="G50" s="69">
        <v>0.1106</v>
      </c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</row>
    <row r="51">
      <c r="A51" s="78" t="s">
        <v>323</v>
      </c>
      <c r="B51" s="68">
        <v>75934.08</v>
      </c>
      <c r="C51" s="87">
        <v>153900.08</v>
      </c>
      <c r="D51" s="87">
        <v>349807.69</v>
      </c>
      <c r="E51" s="87">
        <v>49573.33941</v>
      </c>
      <c r="F51" s="68">
        <v>629215.19</v>
      </c>
      <c r="G51" s="69">
        <v>0.1105</v>
      </c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</row>
    <row r="52">
      <c r="A52" s="78" t="s">
        <v>398</v>
      </c>
      <c r="B52" s="68">
        <v>-2274.91</v>
      </c>
      <c r="C52" s="87">
        <v>51152.09</v>
      </c>
      <c r="D52" s="87">
        <v>105493.96</v>
      </c>
      <c r="E52" s="87">
        <v>1960.982933</v>
      </c>
      <c r="F52" s="68">
        <v>156332.12</v>
      </c>
      <c r="G52" s="69">
        <v>0.0274</v>
      </c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</row>
    <row r="53">
      <c r="A53" s="78" t="s">
        <v>324</v>
      </c>
      <c r="B53" s="68">
        <v>76418.1</v>
      </c>
      <c r="C53" s="87">
        <v>153978.1</v>
      </c>
      <c r="D53" s="87">
        <v>349807.69</v>
      </c>
      <c r="E53" s="87">
        <v>49573.33941</v>
      </c>
      <c r="F53" s="68">
        <v>629777.23</v>
      </c>
      <c r="G53" s="69">
        <v>0.1106</v>
      </c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</row>
    <row r="54">
      <c r="A54" s="83" t="s">
        <v>325</v>
      </c>
      <c r="B54" s="68">
        <v>40306.11</v>
      </c>
      <c r="C54" s="87">
        <v>90186.11</v>
      </c>
      <c r="D54" s="87">
        <v>209855.696</v>
      </c>
      <c r="E54" s="87">
        <v>29735.54137</v>
      </c>
      <c r="F54" s="68">
        <v>370083.46</v>
      </c>
      <c r="G54" s="69">
        <v>0.065</v>
      </c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</row>
    <row r="55">
      <c r="A55" s="86" t="s">
        <v>326</v>
      </c>
      <c r="B55" s="68">
        <v>37017.44</v>
      </c>
      <c r="C55" s="87">
        <v>70272.42</v>
      </c>
      <c r="D55" s="65"/>
      <c r="E55" s="65"/>
      <c r="F55" s="68">
        <v>107289.86</v>
      </c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</row>
    <row r="56">
      <c r="A56" s="65"/>
      <c r="B56" s="68">
        <v>707265.0</v>
      </c>
      <c r="C56" s="68">
        <v>1386327.66</v>
      </c>
      <c r="D56" s="68">
        <v>3147848.77</v>
      </c>
      <c r="E56" s="68">
        <v>454750.5719</v>
      </c>
      <c r="F56" s="87">
        <v>5696192.0</v>
      </c>
      <c r="G56" s="69">
        <v>1.0</v>
      </c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</row>
    <row r="57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</row>
    <row r="58">
      <c r="A58" s="65"/>
      <c r="B58" s="66" t="s">
        <v>188</v>
      </c>
      <c r="C58" s="66" t="s">
        <v>448</v>
      </c>
      <c r="D58" s="86" t="s">
        <v>449</v>
      </c>
      <c r="E58" s="66" t="s">
        <v>450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</row>
    <row r="59">
      <c r="A59" s="76" t="s">
        <v>311</v>
      </c>
      <c r="B59" s="68">
        <v>69121.01</v>
      </c>
      <c r="C59" s="68">
        <v>249982.01</v>
      </c>
      <c r="D59" s="87">
        <v>61891.6517</v>
      </c>
      <c r="E59" s="87">
        <v>194667.83</v>
      </c>
      <c r="F59" s="68">
        <v>575662.5</v>
      </c>
      <c r="G59" s="69">
        <v>0.1093</v>
      </c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</row>
    <row r="60">
      <c r="A60" s="78" t="s">
        <v>313</v>
      </c>
      <c r="B60" s="68">
        <v>74310.02</v>
      </c>
      <c r="C60" s="87">
        <v>157710.02</v>
      </c>
      <c r="D60" s="87">
        <v>61891.6517</v>
      </c>
      <c r="E60" s="87">
        <v>194667.83</v>
      </c>
      <c r="F60" s="68">
        <v>488579.52</v>
      </c>
      <c r="G60" s="69">
        <v>0.0928</v>
      </c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</row>
    <row r="61">
      <c r="A61" s="78" t="s">
        <v>315</v>
      </c>
      <c r="B61" s="68">
        <v>69130.03</v>
      </c>
      <c r="C61" s="87">
        <v>249983.03</v>
      </c>
      <c r="D61" s="87">
        <v>61891.6517</v>
      </c>
      <c r="E61" s="87">
        <v>194667.83</v>
      </c>
      <c r="F61" s="68">
        <v>575672.54</v>
      </c>
      <c r="G61" s="69">
        <v>0.1093</v>
      </c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</row>
    <row r="62">
      <c r="A62" s="78" t="s">
        <v>319</v>
      </c>
      <c r="B62" s="68">
        <v>69113.04</v>
      </c>
      <c r="C62" s="87">
        <v>249980.04</v>
      </c>
      <c r="D62" s="87">
        <v>61891.6517</v>
      </c>
      <c r="E62" s="87">
        <v>194667.83</v>
      </c>
      <c r="F62" s="68">
        <v>575652.56</v>
      </c>
      <c r="G62" s="69">
        <v>0.1093</v>
      </c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</row>
    <row r="63">
      <c r="A63" s="78" t="s">
        <v>320</v>
      </c>
      <c r="B63" s="68">
        <v>41664.05</v>
      </c>
      <c r="C63" s="87">
        <v>151688.05</v>
      </c>
      <c r="D63" s="87">
        <v>37123.6034</v>
      </c>
      <c r="E63" s="87">
        <v>116764.88</v>
      </c>
      <c r="F63" s="68">
        <v>347240.58</v>
      </c>
      <c r="G63" s="69">
        <v>0.0659</v>
      </c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</row>
    <row r="64">
      <c r="A64" s="78" t="s">
        <v>321</v>
      </c>
      <c r="B64" s="68">
        <v>69130.06</v>
      </c>
      <c r="C64" s="87">
        <v>249983.06</v>
      </c>
      <c r="D64" s="87">
        <v>61891.6517</v>
      </c>
      <c r="E64" s="87">
        <v>194667.83</v>
      </c>
      <c r="F64" s="68">
        <v>575672.6</v>
      </c>
      <c r="G64" s="69">
        <v>0.1093</v>
      </c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</row>
    <row r="65">
      <c r="A65" s="78" t="s">
        <v>322</v>
      </c>
      <c r="B65" s="68">
        <v>69113.07</v>
      </c>
      <c r="C65" s="87">
        <v>249980.07</v>
      </c>
      <c r="D65" s="87">
        <v>61891.6517</v>
      </c>
      <c r="E65" s="87">
        <v>194667.83</v>
      </c>
      <c r="F65" s="68">
        <v>575652.62</v>
      </c>
      <c r="G65" s="69">
        <v>0.1093</v>
      </c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</row>
    <row r="66">
      <c r="A66" s="78" t="s">
        <v>323</v>
      </c>
      <c r="B66" s="68">
        <v>69130.08</v>
      </c>
      <c r="C66" s="87">
        <v>249983.08</v>
      </c>
      <c r="D66" s="87">
        <v>61891.6517</v>
      </c>
      <c r="E66" s="87">
        <v>194667.83</v>
      </c>
      <c r="F66" s="68">
        <v>575672.64</v>
      </c>
      <c r="G66" s="69">
        <v>0.1093</v>
      </c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</row>
    <row r="67">
      <c r="A67" s="78" t="s">
        <v>398</v>
      </c>
      <c r="B67" s="68">
        <v>-3313.91</v>
      </c>
      <c r="C67" s="87">
        <v>57291.09</v>
      </c>
      <c r="D67" s="87">
        <v>0.0</v>
      </c>
      <c r="E67" s="87">
        <v>0.0</v>
      </c>
      <c r="F67" s="68">
        <v>53977.18</v>
      </c>
      <c r="G67" s="69">
        <v>0.0103</v>
      </c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</row>
    <row r="68">
      <c r="A68" s="78" t="s">
        <v>324</v>
      </c>
      <c r="B68" s="68">
        <v>69113.1</v>
      </c>
      <c r="C68" s="87">
        <v>249980.1</v>
      </c>
      <c r="D68" s="87">
        <v>37123.6034</v>
      </c>
      <c r="E68" s="87">
        <v>194667.83</v>
      </c>
      <c r="F68" s="68">
        <v>550884.63</v>
      </c>
      <c r="G68" s="69">
        <v>0.1046</v>
      </c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</row>
    <row r="69">
      <c r="A69" s="83" t="s">
        <v>325</v>
      </c>
      <c r="B69" s="68">
        <v>41697.11</v>
      </c>
      <c r="C69" s="87">
        <v>150711.11</v>
      </c>
      <c r="D69" s="87">
        <v>61891.6517</v>
      </c>
      <c r="E69" s="87">
        <v>116764.88</v>
      </c>
      <c r="F69" s="68">
        <v>371064.75</v>
      </c>
      <c r="G69" s="69">
        <v>0.0705</v>
      </c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</row>
    <row r="70">
      <c r="A70" s="86" t="s">
        <v>326</v>
      </c>
      <c r="B70" s="68">
        <v>33764.23</v>
      </c>
      <c r="C70" s="87">
        <v>116314.741</v>
      </c>
      <c r="D70" s="65"/>
      <c r="E70" s="65"/>
      <c r="F70" s="68">
        <v>150078.97</v>
      </c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</row>
    <row r="71">
      <c r="A71" s="65"/>
      <c r="B71" s="68">
        <v>671971.886</v>
      </c>
      <c r="C71" s="68">
        <v>2383586.4</v>
      </c>
      <c r="D71" s="68">
        <v>569380.42</v>
      </c>
      <c r="E71" s="68">
        <v>1790872.4</v>
      </c>
      <c r="F71" s="68">
        <v>5415811.11</v>
      </c>
      <c r="G71" s="69">
        <v>1.0</v>
      </c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</row>
    <row r="72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</row>
    <row r="73">
      <c r="A73" s="65"/>
      <c r="B73" s="66" t="s">
        <v>85</v>
      </c>
      <c r="C73" s="66" t="s">
        <v>84</v>
      </c>
      <c r="D73" s="66" t="s">
        <v>454</v>
      </c>
      <c r="E73" s="66" t="s">
        <v>455</v>
      </c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</row>
    <row r="74">
      <c r="A74" s="67" t="s">
        <v>311</v>
      </c>
      <c r="B74" s="68">
        <v>272191.01</v>
      </c>
      <c r="C74" s="68">
        <v>103150.01</v>
      </c>
      <c r="D74" s="68">
        <v>267379.725</v>
      </c>
      <c r="E74" s="68">
        <v>159393.23</v>
      </c>
      <c r="F74" s="68">
        <v>802113.97</v>
      </c>
      <c r="G74" s="69">
        <v>0.1091</v>
      </c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</row>
    <row r="75">
      <c r="A75" s="67" t="s">
        <v>313</v>
      </c>
      <c r="B75" s="68">
        <v>230157.02</v>
      </c>
      <c r="C75" s="68">
        <v>67469.02</v>
      </c>
      <c r="D75" s="68">
        <v>267379.725</v>
      </c>
      <c r="E75" s="68">
        <v>159393.23</v>
      </c>
      <c r="F75" s="68">
        <v>724398.99</v>
      </c>
      <c r="G75" s="69">
        <v>0.0986</v>
      </c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</row>
    <row r="76">
      <c r="A76" s="67" t="s">
        <v>315</v>
      </c>
      <c r="B76" s="68">
        <v>272203.03</v>
      </c>
      <c r="C76" s="68">
        <v>103156.03</v>
      </c>
      <c r="D76" s="68">
        <v>267379.725</v>
      </c>
      <c r="E76" s="68">
        <v>159393.23</v>
      </c>
      <c r="F76" s="68">
        <v>802132.01</v>
      </c>
      <c r="G76" s="69">
        <v>0.1091</v>
      </c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</row>
    <row r="77">
      <c r="A77" s="67" t="s">
        <v>319</v>
      </c>
      <c r="B77" s="68">
        <v>270303.04</v>
      </c>
      <c r="C77" s="68">
        <v>103146.04</v>
      </c>
      <c r="D77" s="68">
        <v>267379.725</v>
      </c>
      <c r="E77" s="68">
        <v>159393.23</v>
      </c>
      <c r="F77" s="68">
        <v>800222.03</v>
      </c>
      <c r="G77" s="69">
        <v>0.1089</v>
      </c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</row>
    <row r="78">
      <c r="A78" s="67" t="s">
        <v>320</v>
      </c>
      <c r="B78" s="68">
        <v>164317.05</v>
      </c>
      <c r="C78" s="68">
        <v>64316.05</v>
      </c>
      <c r="D78" s="68">
        <v>160378.639</v>
      </c>
      <c r="E78" s="68">
        <v>95606.61</v>
      </c>
      <c r="F78" s="68">
        <v>484618.35</v>
      </c>
      <c r="G78" s="69">
        <v>0.0659</v>
      </c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</row>
    <row r="79">
      <c r="A79" s="67" t="s">
        <v>321</v>
      </c>
      <c r="B79" s="68">
        <v>272203.06</v>
      </c>
      <c r="C79" s="68">
        <v>103156.06</v>
      </c>
      <c r="D79" s="68">
        <v>267379.725</v>
      </c>
      <c r="E79" s="68">
        <v>159393.23</v>
      </c>
      <c r="F79" s="68">
        <v>802132.07</v>
      </c>
      <c r="G79" s="69">
        <v>0.1091</v>
      </c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</row>
    <row r="80">
      <c r="A80" s="67" t="s">
        <v>322</v>
      </c>
      <c r="B80" s="68">
        <v>272181.07</v>
      </c>
      <c r="C80" s="68">
        <v>103146.07</v>
      </c>
      <c r="D80" s="68">
        <v>267379.725</v>
      </c>
      <c r="E80" s="68">
        <v>159393.23</v>
      </c>
      <c r="F80" s="68">
        <v>802100.09</v>
      </c>
      <c r="G80" s="69">
        <v>0.1091</v>
      </c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</row>
    <row r="81">
      <c r="A81" s="67" t="s">
        <v>323</v>
      </c>
      <c r="B81" s="68">
        <v>272203.08</v>
      </c>
      <c r="C81" s="68">
        <v>103156.08</v>
      </c>
      <c r="D81" s="68">
        <v>267379.725</v>
      </c>
      <c r="E81" s="68">
        <v>159393.23</v>
      </c>
      <c r="F81" s="68">
        <v>802132.11</v>
      </c>
      <c r="G81" s="69">
        <v>0.1091</v>
      </c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</row>
    <row r="82">
      <c r="A82" s="67" t="s">
        <v>398</v>
      </c>
      <c r="B82" s="68">
        <v>26717.09</v>
      </c>
      <c r="C82" s="68">
        <v>11681.09</v>
      </c>
      <c r="D82" s="68">
        <v>0.0</v>
      </c>
      <c r="E82" s="68">
        <v>0.0</v>
      </c>
      <c r="F82" s="68">
        <v>38398.18</v>
      </c>
      <c r="G82" s="69">
        <v>0.0052</v>
      </c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</row>
    <row r="83">
      <c r="A83" s="67" t="s">
        <v>324</v>
      </c>
      <c r="B83" s="68">
        <v>272181.1</v>
      </c>
      <c r="C83" s="68">
        <v>103146.1</v>
      </c>
      <c r="D83" s="68">
        <v>267379.725</v>
      </c>
      <c r="E83" s="68">
        <v>159393.23</v>
      </c>
      <c r="F83" s="68">
        <v>802100.15</v>
      </c>
      <c r="G83" s="69">
        <v>0.1091</v>
      </c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</row>
    <row r="84">
      <c r="A84" s="67" t="s">
        <v>325</v>
      </c>
      <c r="B84" s="68">
        <v>164360.11</v>
      </c>
      <c r="C84" s="68">
        <v>68790.11</v>
      </c>
      <c r="D84" s="68">
        <v>160378.639</v>
      </c>
      <c r="E84" s="68">
        <v>95606.61</v>
      </c>
      <c r="F84" s="68">
        <v>489135.47</v>
      </c>
      <c r="G84" s="69">
        <v>0.0666</v>
      </c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</row>
    <row r="85">
      <c r="A85" s="67" t="s">
        <v>326</v>
      </c>
      <c r="B85" s="68">
        <v>129594.672</v>
      </c>
      <c r="C85" s="68">
        <v>48559.5347</v>
      </c>
      <c r="D85" s="65"/>
      <c r="E85" s="65"/>
      <c r="F85" s="68">
        <v>178154.21</v>
      </c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</row>
    <row r="86">
      <c r="A86" s="65"/>
      <c r="B86" s="68">
        <v>2618611.33</v>
      </c>
      <c r="C86" s="68">
        <v>982872.195</v>
      </c>
      <c r="D86" s="68">
        <v>2459795.08</v>
      </c>
      <c r="E86" s="87">
        <v>1466359.03</v>
      </c>
      <c r="F86" s="87">
        <v>7527637.64</v>
      </c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</row>
    <row r="88">
      <c r="A88" s="65"/>
      <c r="B88" s="66" t="s">
        <v>104</v>
      </c>
      <c r="C88" s="66" t="s">
        <v>462</v>
      </c>
      <c r="D88" s="66" t="s">
        <v>463</v>
      </c>
      <c r="E88" s="66" t="s">
        <v>464</v>
      </c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</row>
    <row r="89">
      <c r="A89" s="67" t="s">
        <v>311</v>
      </c>
      <c r="B89" s="68">
        <v>281798.9</v>
      </c>
      <c r="C89" s="68">
        <v>124396.01</v>
      </c>
      <c r="D89" s="68">
        <v>187327.77</v>
      </c>
      <c r="E89" s="68">
        <v>316365.68</v>
      </c>
      <c r="F89" s="68">
        <v>909888.36</v>
      </c>
      <c r="G89" s="69">
        <v>0.1087</v>
      </c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</row>
    <row r="90">
      <c r="A90" s="67" t="s">
        <v>313</v>
      </c>
      <c r="B90" s="68">
        <v>271451.39</v>
      </c>
      <c r="C90" s="68">
        <v>128100.02</v>
      </c>
      <c r="D90" s="68">
        <v>187327.77</v>
      </c>
      <c r="E90" s="68">
        <v>316365.68</v>
      </c>
      <c r="F90" s="68">
        <v>903244.86</v>
      </c>
      <c r="G90" s="69">
        <v>0.1079</v>
      </c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</row>
    <row r="91">
      <c r="A91" s="67" t="s">
        <v>315</v>
      </c>
      <c r="B91" s="68">
        <v>281798.89</v>
      </c>
      <c r="C91" s="68">
        <v>124414.03</v>
      </c>
      <c r="D91" s="68">
        <v>187327.77</v>
      </c>
      <c r="E91" s="68">
        <v>316365.68</v>
      </c>
      <c r="F91" s="68">
        <v>909906.37</v>
      </c>
      <c r="G91" s="69">
        <v>0.1087</v>
      </c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</row>
    <row r="92">
      <c r="A92" s="67" t="s">
        <v>319</v>
      </c>
      <c r="B92" s="68">
        <v>281800.17</v>
      </c>
      <c r="C92" s="68">
        <v>124381.04</v>
      </c>
      <c r="D92" s="68">
        <v>187327.77</v>
      </c>
      <c r="E92" s="68">
        <v>316365.68</v>
      </c>
      <c r="F92" s="68">
        <v>909874.66</v>
      </c>
      <c r="G92" s="69">
        <v>0.1087</v>
      </c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</row>
    <row r="93">
      <c r="A93" s="67" t="s">
        <v>320</v>
      </c>
      <c r="B93" s="68">
        <v>169077.28</v>
      </c>
      <c r="C93" s="68">
        <v>76284.05</v>
      </c>
      <c r="D93" s="68">
        <v>112362.2</v>
      </c>
      <c r="E93" s="68">
        <v>189761.2</v>
      </c>
      <c r="F93" s="68">
        <v>547484.73</v>
      </c>
      <c r="G93" s="69">
        <v>0.0654</v>
      </c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</row>
    <row r="94">
      <c r="A94" s="67" t="s">
        <v>321</v>
      </c>
      <c r="B94" s="68">
        <v>281798.89</v>
      </c>
      <c r="C94" s="68">
        <v>124414.06</v>
      </c>
      <c r="D94" s="68">
        <v>187327.77</v>
      </c>
      <c r="E94" s="68">
        <v>316365.68</v>
      </c>
      <c r="F94" s="68">
        <v>909906.4</v>
      </c>
      <c r="G94" s="69">
        <v>0.1087</v>
      </c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</row>
    <row r="95">
      <c r="A95" s="67" t="s">
        <v>322</v>
      </c>
      <c r="B95" s="68">
        <v>281798.91</v>
      </c>
      <c r="C95" s="68">
        <v>124382.07</v>
      </c>
      <c r="D95" s="68">
        <v>187327.77</v>
      </c>
      <c r="E95" s="68">
        <v>316365.68</v>
      </c>
      <c r="F95" s="68">
        <v>909874.43</v>
      </c>
      <c r="G95" s="69">
        <v>0.1087</v>
      </c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</row>
    <row r="96">
      <c r="A96" s="67" t="s">
        <v>323</v>
      </c>
      <c r="B96" s="68">
        <v>281798.89</v>
      </c>
      <c r="C96" s="68">
        <v>124414.08</v>
      </c>
      <c r="D96" s="68">
        <v>187327.77</v>
      </c>
      <c r="E96" s="68">
        <v>316365.68</v>
      </c>
      <c r="F96" s="68">
        <v>909906.42</v>
      </c>
      <c r="G96" s="69">
        <v>0.1087</v>
      </c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</row>
    <row r="97">
      <c r="A97" s="67" t="s">
        <v>398</v>
      </c>
      <c r="B97" s="68">
        <v>6568.36</v>
      </c>
      <c r="C97" s="68">
        <v>-1773.91</v>
      </c>
      <c r="D97" s="68">
        <v>0.0</v>
      </c>
      <c r="E97" s="68">
        <v>0.0</v>
      </c>
      <c r="F97" s="68">
        <v>4794.45</v>
      </c>
      <c r="G97" s="69">
        <v>6.0E-4</v>
      </c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</row>
    <row r="98">
      <c r="A98" s="67" t="s">
        <v>324</v>
      </c>
      <c r="B98" s="68">
        <v>281798.91</v>
      </c>
      <c r="C98" s="68">
        <v>124382.1</v>
      </c>
      <c r="D98" s="68">
        <v>187327.77</v>
      </c>
      <c r="E98" s="68">
        <v>316365.68</v>
      </c>
      <c r="F98" s="68">
        <v>909874.46</v>
      </c>
      <c r="G98" s="69">
        <v>0.1087</v>
      </c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</row>
    <row r="99">
      <c r="A99" s="67" t="s">
        <v>325</v>
      </c>
      <c r="B99" s="68">
        <v>169074.25</v>
      </c>
      <c r="C99" s="68">
        <v>76349.11</v>
      </c>
      <c r="D99" s="68">
        <v>112362.2</v>
      </c>
      <c r="E99" s="68">
        <v>189761.2</v>
      </c>
      <c r="F99" s="68">
        <v>547546.76</v>
      </c>
      <c r="G99" s="69">
        <v>0.0654</v>
      </c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</row>
    <row r="100">
      <c r="A100" s="67" t="s">
        <v>326</v>
      </c>
      <c r="B100" s="68">
        <v>114208.038</v>
      </c>
      <c r="C100" s="68">
        <v>60606.17</v>
      </c>
      <c r="D100" s="65"/>
      <c r="E100" s="65"/>
      <c r="F100" s="68">
        <v>174814.21</v>
      </c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</row>
    <row r="101">
      <c r="A101" s="65"/>
      <c r="B101" s="87">
        <v>2702972.87</v>
      </c>
      <c r="C101" s="68">
        <v>1210348.83</v>
      </c>
      <c r="D101" s="68">
        <v>1723346.56</v>
      </c>
      <c r="E101" s="87">
        <v>2910447.81</v>
      </c>
      <c r="F101" s="87">
        <v>8547116.07</v>
      </c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</row>
    <row r="102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</row>
    <row r="103">
      <c r="A103" s="65"/>
      <c r="B103" s="66" t="s">
        <v>468</v>
      </c>
      <c r="C103" s="66" t="s">
        <v>469</v>
      </c>
      <c r="D103" s="66" t="s">
        <v>470</v>
      </c>
      <c r="E103" s="66" t="s">
        <v>471</v>
      </c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</row>
    <row r="104">
      <c r="A104" s="67" t="s">
        <v>311</v>
      </c>
      <c r="B104" s="68">
        <v>117742.01</v>
      </c>
      <c r="C104" s="68">
        <v>109484.42</v>
      </c>
      <c r="D104" s="68">
        <v>185194.16</v>
      </c>
      <c r="E104" s="68">
        <v>370756.3037</v>
      </c>
      <c r="F104" s="68">
        <v>783176.89</v>
      </c>
      <c r="G104" s="69">
        <v>0.1079</v>
      </c>
      <c r="H104" s="65"/>
      <c r="I104" s="65"/>
      <c r="J104" s="65"/>
      <c r="K104" s="65"/>
      <c r="L104" s="65"/>
      <c r="M104" s="65"/>
      <c r="N104" s="68">
        <v>370756.3037</v>
      </c>
      <c r="O104" s="65"/>
      <c r="P104" s="65"/>
      <c r="Q104" s="65"/>
      <c r="R104" s="65"/>
      <c r="S104" s="65"/>
      <c r="T104" s="65"/>
      <c r="U104" s="65"/>
      <c r="V104" s="65"/>
      <c r="W104" s="65"/>
    </row>
    <row r="105">
      <c r="A105" s="67" t="s">
        <v>313</v>
      </c>
      <c r="B105" s="68">
        <v>119357.02</v>
      </c>
      <c r="C105" s="68">
        <v>98748.84</v>
      </c>
      <c r="D105" s="68">
        <v>183561.27</v>
      </c>
      <c r="E105" s="68">
        <v>370756.3037</v>
      </c>
      <c r="F105" s="68">
        <v>772423.43</v>
      </c>
      <c r="G105" s="69">
        <v>0.1064</v>
      </c>
      <c r="H105" s="65"/>
      <c r="I105" s="65"/>
      <c r="J105" s="65"/>
      <c r="K105" s="65"/>
      <c r="L105" s="65"/>
      <c r="M105" s="65"/>
      <c r="N105" s="68">
        <v>370756.3037</v>
      </c>
      <c r="O105" s="65"/>
      <c r="P105" s="65"/>
      <c r="Q105" s="65"/>
      <c r="R105" s="65"/>
      <c r="S105" s="65"/>
      <c r="T105" s="65"/>
      <c r="U105" s="65"/>
      <c r="V105" s="65"/>
      <c r="W105" s="65"/>
    </row>
    <row r="106">
      <c r="A106" s="67" t="s">
        <v>314</v>
      </c>
      <c r="B106" s="68">
        <v>0.0</v>
      </c>
      <c r="C106" s="68">
        <v>0.0</v>
      </c>
      <c r="D106" s="68">
        <v>0.0</v>
      </c>
      <c r="E106" s="68">
        <v>0.0</v>
      </c>
      <c r="F106" s="68">
        <v>0.0</v>
      </c>
      <c r="G106" s="69">
        <v>0.0</v>
      </c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</row>
    <row r="107">
      <c r="A107" s="67" t="s">
        <v>315</v>
      </c>
      <c r="B107" s="68">
        <v>117741.04</v>
      </c>
      <c r="C107" s="68">
        <v>109484.65</v>
      </c>
      <c r="D107" s="68">
        <v>185194.16</v>
      </c>
      <c r="E107" s="68">
        <v>370756.3037</v>
      </c>
      <c r="F107" s="68">
        <v>783176.15</v>
      </c>
      <c r="G107" s="69">
        <v>0.1079</v>
      </c>
      <c r="H107" s="65"/>
      <c r="I107" s="65"/>
      <c r="J107" s="65"/>
      <c r="K107" s="65"/>
      <c r="L107" s="65"/>
      <c r="M107" s="65"/>
      <c r="N107" s="68">
        <v>370756.3037</v>
      </c>
      <c r="O107" s="65"/>
      <c r="P107" s="65"/>
      <c r="Q107" s="65"/>
      <c r="R107" s="65"/>
      <c r="S107" s="65"/>
      <c r="T107" s="65"/>
      <c r="U107" s="65"/>
      <c r="V107" s="65"/>
      <c r="W107" s="65"/>
    </row>
    <row r="108">
      <c r="A108" s="67" t="s">
        <v>319</v>
      </c>
      <c r="B108" s="68">
        <v>117742.05</v>
      </c>
      <c r="C108" s="68">
        <v>109484.59</v>
      </c>
      <c r="D108" s="68">
        <v>185194.16</v>
      </c>
      <c r="E108" s="68">
        <v>370756.3037</v>
      </c>
      <c r="F108" s="68">
        <v>783177.1</v>
      </c>
      <c r="G108" s="69">
        <v>0.1079</v>
      </c>
      <c r="H108" s="65"/>
      <c r="I108" s="65"/>
      <c r="J108" s="65"/>
      <c r="K108" s="65"/>
      <c r="L108" s="65"/>
      <c r="M108" s="65"/>
      <c r="N108" s="68">
        <v>370756.3037</v>
      </c>
      <c r="O108" s="65"/>
      <c r="P108" s="65"/>
      <c r="Q108" s="65"/>
      <c r="R108" s="65"/>
      <c r="S108" s="65"/>
      <c r="T108" s="65"/>
      <c r="U108" s="65"/>
      <c r="V108" s="65"/>
      <c r="W108" s="65"/>
    </row>
    <row r="109">
      <c r="A109" s="67" t="s">
        <v>320</v>
      </c>
      <c r="B109" s="68">
        <v>82480.06</v>
      </c>
      <c r="C109" s="68">
        <v>69232.42</v>
      </c>
      <c r="D109" s="68">
        <v>111082.67</v>
      </c>
      <c r="E109" s="68">
        <v>238184.3852</v>
      </c>
      <c r="F109" s="68">
        <v>500979.54</v>
      </c>
      <c r="G109" s="69">
        <v>0.069</v>
      </c>
      <c r="H109" s="65"/>
      <c r="I109" s="65"/>
      <c r="J109" s="65"/>
      <c r="K109" s="65"/>
      <c r="L109" s="65"/>
      <c r="M109" s="65"/>
      <c r="N109" s="68">
        <v>238184.3852</v>
      </c>
      <c r="O109" s="65"/>
      <c r="P109" s="65"/>
      <c r="Q109" s="65"/>
      <c r="R109" s="65"/>
      <c r="S109" s="65"/>
      <c r="T109" s="65"/>
      <c r="U109" s="65"/>
      <c r="V109" s="65"/>
      <c r="W109" s="65"/>
    </row>
    <row r="110">
      <c r="A110" s="67" t="s">
        <v>321</v>
      </c>
      <c r="B110" s="68">
        <v>117741.06</v>
      </c>
      <c r="C110" s="68">
        <v>109485.04</v>
      </c>
      <c r="D110" s="68">
        <v>185194.16</v>
      </c>
      <c r="E110" s="68">
        <v>370756.3037</v>
      </c>
      <c r="F110" s="68">
        <v>783176.56</v>
      </c>
      <c r="G110" s="69">
        <v>0.1079</v>
      </c>
      <c r="H110" s="65"/>
      <c r="I110" s="65"/>
      <c r="J110" s="65"/>
      <c r="K110" s="65"/>
      <c r="L110" s="65"/>
      <c r="M110" s="65"/>
      <c r="N110" s="68">
        <v>370756.3037</v>
      </c>
      <c r="O110" s="65"/>
      <c r="P110" s="65"/>
      <c r="Q110" s="65"/>
      <c r="R110" s="65"/>
      <c r="S110" s="65"/>
      <c r="T110" s="65"/>
      <c r="U110" s="65"/>
      <c r="V110" s="65"/>
      <c r="W110" s="65"/>
    </row>
    <row r="111">
      <c r="A111" s="67" t="s">
        <v>322</v>
      </c>
      <c r="B111" s="68">
        <v>117742.08</v>
      </c>
      <c r="C111" s="68">
        <v>109485.09</v>
      </c>
      <c r="D111" s="68">
        <v>185194.16</v>
      </c>
      <c r="E111" s="68">
        <v>370756.3037</v>
      </c>
      <c r="F111" s="68">
        <v>783177.63</v>
      </c>
      <c r="G111" s="69">
        <v>0.1079</v>
      </c>
      <c r="H111" s="65"/>
      <c r="I111" s="65"/>
      <c r="J111" s="65"/>
      <c r="K111" s="65"/>
      <c r="L111" s="65"/>
      <c r="M111" s="65"/>
      <c r="N111" s="68">
        <v>370756.3037</v>
      </c>
      <c r="O111" s="65"/>
      <c r="P111" s="65"/>
      <c r="Q111" s="65"/>
      <c r="R111" s="65"/>
      <c r="S111" s="65"/>
      <c r="T111" s="65"/>
      <c r="U111" s="65"/>
      <c r="V111" s="65"/>
      <c r="W111" s="65"/>
    </row>
    <row r="112">
      <c r="A112" s="67" t="s">
        <v>323</v>
      </c>
      <c r="B112" s="68">
        <v>117741.09</v>
      </c>
      <c r="C112" s="68">
        <v>109485.11</v>
      </c>
      <c r="D112" s="68">
        <v>185194.16</v>
      </c>
      <c r="E112" s="68">
        <v>370756.3037</v>
      </c>
      <c r="F112" s="68">
        <v>783176.66</v>
      </c>
      <c r="G112" s="69">
        <v>0.1079</v>
      </c>
      <c r="H112" s="65"/>
      <c r="I112" s="65"/>
      <c r="J112" s="65"/>
      <c r="K112" s="65"/>
      <c r="L112" s="65"/>
      <c r="M112" s="65"/>
      <c r="N112" s="68">
        <v>370756.3037</v>
      </c>
      <c r="O112" s="65"/>
      <c r="P112" s="65"/>
      <c r="Q112" s="65"/>
      <c r="R112" s="65"/>
      <c r="S112" s="65"/>
      <c r="T112" s="65"/>
      <c r="U112" s="65"/>
      <c r="V112" s="65"/>
      <c r="W112" s="65"/>
    </row>
    <row r="113">
      <c r="A113" s="67" t="s">
        <v>398</v>
      </c>
      <c r="B113" s="68">
        <v>0.0</v>
      </c>
      <c r="C113" s="68">
        <v>4826.1</v>
      </c>
      <c r="D113" s="68">
        <v>384.68</v>
      </c>
      <c r="E113" s="68">
        <v>0.0</v>
      </c>
      <c r="F113" s="68">
        <v>5210.78</v>
      </c>
      <c r="G113" s="69">
        <v>7.0E-4</v>
      </c>
      <c r="H113" s="65"/>
      <c r="I113" s="65"/>
      <c r="J113" s="65"/>
      <c r="K113" s="65"/>
      <c r="L113" s="65"/>
      <c r="M113" s="65"/>
      <c r="N113" s="68">
        <v>238184.3852</v>
      </c>
      <c r="O113" s="65"/>
      <c r="P113" s="65"/>
      <c r="Q113" s="65"/>
      <c r="R113" s="65"/>
      <c r="S113" s="65"/>
      <c r="T113" s="65"/>
      <c r="U113" s="65"/>
      <c r="V113" s="65"/>
      <c r="W113" s="65"/>
    </row>
    <row r="114">
      <c r="A114" s="67" t="s">
        <v>324</v>
      </c>
      <c r="B114" s="68">
        <v>117742.11</v>
      </c>
      <c r="C114" s="68">
        <v>109485.12</v>
      </c>
      <c r="D114" s="68">
        <v>185194.16</v>
      </c>
      <c r="E114" s="68">
        <v>370756.3037</v>
      </c>
      <c r="F114" s="68">
        <v>783177.69</v>
      </c>
      <c r="G114" s="69">
        <v>0.1079</v>
      </c>
      <c r="H114" s="65"/>
      <c r="I114" s="65"/>
      <c r="J114" s="65"/>
      <c r="K114" s="65"/>
      <c r="L114" s="65"/>
      <c r="M114" s="65"/>
      <c r="N114" s="68">
        <v>370756.3037</v>
      </c>
      <c r="O114" s="65"/>
      <c r="P114" s="65"/>
      <c r="Q114" s="65"/>
      <c r="R114" s="65"/>
      <c r="S114" s="65"/>
      <c r="T114" s="65"/>
      <c r="U114" s="65"/>
      <c r="V114" s="65"/>
      <c r="W114" s="65"/>
    </row>
    <row r="115">
      <c r="A115" s="67" t="s">
        <v>325</v>
      </c>
      <c r="B115" s="68">
        <v>81931.12</v>
      </c>
      <c r="C115" s="68">
        <v>69232.13</v>
      </c>
      <c r="D115" s="68">
        <v>111479.44</v>
      </c>
      <c r="E115" s="68">
        <v>238184.3852</v>
      </c>
      <c r="F115" s="68">
        <v>500827.08</v>
      </c>
      <c r="G115" s="69">
        <v>0.069</v>
      </c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</row>
    <row r="116">
      <c r="A116" s="67" t="s">
        <v>326</v>
      </c>
      <c r="B116" s="68">
        <v>60748.37</v>
      </c>
      <c r="C116" s="68">
        <v>38823.84</v>
      </c>
      <c r="D116" s="65"/>
      <c r="E116" s="65"/>
      <c r="F116" s="68">
        <v>99572.21</v>
      </c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</row>
    <row r="117">
      <c r="A117" s="65"/>
      <c r="B117" s="87">
        <v>1168708.01</v>
      </c>
      <c r="C117" s="68">
        <v>1047257.35</v>
      </c>
      <c r="D117" s="68">
        <v>1702867.18</v>
      </c>
      <c r="E117" s="68">
        <v>3442419.2</v>
      </c>
      <c r="F117" s="68">
        <v>7361251.74</v>
      </c>
      <c r="G117" s="84">
        <v>1.0</v>
      </c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</row>
    <row r="118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</row>
    <row r="119">
      <c r="A119" s="65"/>
      <c r="B119" s="66" t="s">
        <v>133</v>
      </c>
      <c r="C119" s="66" t="s">
        <v>483</v>
      </c>
      <c r="D119" s="66" t="s">
        <v>484</v>
      </c>
      <c r="E119" s="66" t="s">
        <v>485</v>
      </c>
      <c r="F119" s="66" t="s">
        <v>486</v>
      </c>
      <c r="G119" s="66" t="s">
        <v>487</v>
      </c>
      <c r="H119" s="66" t="s">
        <v>456</v>
      </c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</row>
    <row r="120">
      <c r="A120" s="67" t="s">
        <v>311</v>
      </c>
      <c r="B120" s="67">
        <v>291373.261</v>
      </c>
      <c r="C120" s="68">
        <v>26005.01</v>
      </c>
      <c r="D120" s="68">
        <v>256614.17</v>
      </c>
      <c r="E120" s="68">
        <v>15347.95</v>
      </c>
      <c r="F120" s="68">
        <v>92416.72</v>
      </c>
      <c r="G120" s="68">
        <v>120326.14</v>
      </c>
      <c r="H120" s="113">
        <v>802083.25</v>
      </c>
      <c r="I120" s="69">
        <v>0.1074</v>
      </c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</row>
    <row r="121">
      <c r="A121" s="67" t="s">
        <v>313</v>
      </c>
      <c r="B121" s="67">
        <v>291373.261</v>
      </c>
      <c r="C121" s="68">
        <v>26337.02</v>
      </c>
      <c r="D121" s="68">
        <v>256646.84</v>
      </c>
      <c r="E121" s="68">
        <v>6667.02</v>
      </c>
      <c r="F121" s="68">
        <v>86221.29</v>
      </c>
      <c r="G121" s="68">
        <v>120326.14</v>
      </c>
      <c r="H121" s="113">
        <v>787571.57</v>
      </c>
      <c r="I121" s="69">
        <v>0.1054</v>
      </c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</row>
    <row r="122">
      <c r="A122" s="67" t="s">
        <v>314</v>
      </c>
      <c r="B122" s="67">
        <v>0.0</v>
      </c>
      <c r="C122" s="68">
        <v>0.03</v>
      </c>
      <c r="D122" s="68">
        <v>6435.03</v>
      </c>
      <c r="E122" s="68">
        <v>0.03</v>
      </c>
      <c r="F122" s="68">
        <v>0.0</v>
      </c>
      <c r="G122" s="68">
        <v>0.0</v>
      </c>
      <c r="H122" s="113">
        <v>6435.09</v>
      </c>
      <c r="I122" s="69">
        <v>9.0E-4</v>
      </c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</row>
    <row r="123">
      <c r="A123" s="67" t="s">
        <v>315</v>
      </c>
      <c r="B123" s="67">
        <v>291373.261</v>
      </c>
      <c r="C123" s="68">
        <v>26005.04</v>
      </c>
      <c r="D123" s="68">
        <v>256613.4</v>
      </c>
      <c r="E123" s="68">
        <v>15347.93</v>
      </c>
      <c r="F123" s="68">
        <v>92416.72</v>
      </c>
      <c r="G123" s="68">
        <v>120326.14</v>
      </c>
      <c r="H123" s="113">
        <v>802082.49</v>
      </c>
      <c r="I123" s="69">
        <v>0.1074</v>
      </c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</row>
    <row r="124">
      <c r="A124" s="67" t="s">
        <v>319</v>
      </c>
      <c r="B124" s="67">
        <v>291373.261</v>
      </c>
      <c r="C124" s="68">
        <v>26005.05</v>
      </c>
      <c r="D124" s="68">
        <v>256614.34</v>
      </c>
      <c r="E124" s="68">
        <v>14706.99</v>
      </c>
      <c r="F124" s="68">
        <v>92416.72</v>
      </c>
      <c r="G124" s="68">
        <v>120326.14</v>
      </c>
      <c r="H124" s="113">
        <v>801442.5</v>
      </c>
      <c r="I124" s="69">
        <v>0.1073</v>
      </c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</row>
    <row r="125">
      <c r="A125" s="67" t="s">
        <v>320</v>
      </c>
      <c r="B125" s="67">
        <v>181828.569</v>
      </c>
      <c r="C125" s="68">
        <v>25489.06</v>
      </c>
      <c r="D125" s="68">
        <v>179849.17</v>
      </c>
      <c r="E125" s="68">
        <v>11141.95</v>
      </c>
      <c r="F125" s="68">
        <v>56627.55</v>
      </c>
      <c r="G125" s="68">
        <v>75791.83</v>
      </c>
      <c r="H125" s="113">
        <v>530728.13</v>
      </c>
      <c r="I125" s="69">
        <v>0.071</v>
      </c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</row>
    <row r="126">
      <c r="A126" s="67" t="s">
        <v>321</v>
      </c>
      <c r="B126" s="67">
        <v>291373.261</v>
      </c>
      <c r="C126" s="68">
        <v>26005.06</v>
      </c>
      <c r="D126" s="68">
        <v>256613.27</v>
      </c>
      <c r="E126" s="68">
        <v>15348.0</v>
      </c>
      <c r="F126" s="68">
        <v>92416.72</v>
      </c>
      <c r="G126" s="68">
        <v>120326.14</v>
      </c>
      <c r="H126" s="113">
        <v>802082.45</v>
      </c>
      <c r="I126" s="69">
        <v>0.1074</v>
      </c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</row>
    <row r="127">
      <c r="A127" s="67" t="s">
        <v>322</v>
      </c>
      <c r="B127" s="67">
        <v>291373.261</v>
      </c>
      <c r="C127" s="68">
        <v>26005.08</v>
      </c>
      <c r="D127" s="68">
        <v>256613.84</v>
      </c>
      <c r="E127" s="68">
        <v>15348.02</v>
      </c>
      <c r="F127" s="68">
        <v>92416.72</v>
      </c>
      <c r="G127" s="68">
        <v>120326.14</v>
      </c>
      <c r="H127" s="113">
        <v>802083.06</v>
      </c>
      <c r="I127" s="69">
        <v>0.1074</v>
      </c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</row>
    <row r="128">
      <c r="A128" s="67" t="s">
        <v>323</v>
      </c>
      <c r="B128" s="67">
        <v>291373.261</v>
      </c>
      <c r="C128" s="68">
        <v>26005.09</v>
      </c>
      <c r="D128" s="68">
        <v>256613.86</v>
      </c>
      <c r="E128" s="68">
        <v>15347.98</v>
      </c>
      <c r="F128" s="68">
        <v>92416.72</v>
      </c>
      <c r="G128" s="68">
        <v>120326.14</v>
      </c>
      <c r="H128" s="113">
        <v>802083.05</v>
      </c>
      <c r="I128" s="69">
        <v>0.1074</v>
      </c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</row>
    <row r="129">
      <c r="A129" s="67" t="s">
        <v>398</v>
      </c>
      <c r="B129" s="74"/>
      <c r="C129" s="68">
        <v>-168.9</v>
      </c>
      <c r="D129" s="68">
        <v>-20.9</v>
      </c>
      <c r="E129" s="68">
        <v>0.1</v>
      </c>
      <c r="F129" s="68">
        <v>0.0</v>
      </c>
      <c r="G129" s="68">
        <v>0.0</v>
      </c>
      <c r="H129" s="113">
        <v>-189.7</v>
      </c>
      <c r="I129" s="69">
        <v>0.0</v>
      </c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</row>
    <row r="130">
      <c r="A130" s="67" t="s">
        <v>324</v>
      </c>
      <c r="B130" s="67">
        <v>291373.261</v>
      </c>
      <c r="C130" s="68">
        <v>26005.11</v>
      </c>
      <c r="D130" s="68">
        <v>256613.87</v>
      </c>
      <c r="E130" s="68">
        <v>15348.05</v>
      </c>
      <c r="F130" s="68">
        <v>92416.72</v>
      </c>
      <c r="G130" s="68">
        <v>120326.14</v>
      </c>
      <c r="H130" s="113">
        <v>802083.15</v>
      </c>
      <c r="I130" s="69">
        <v>0.1074</v>
      </c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</row>
    <row r="131">
      <c r="A131" s="67" t="s">
        <v>325</v>
      </c>
      <c r="B131" s="67">
        <v>181828.569</v>
      </c>
      <c r="C131" s="68">
        <v>25493.12</v>
      </c>
      <c r="D131" s="68">
        <v>179848.89</v>
      </c>
      <c r="E131" s="68">
        <v>13402.06</v>
      </c>
      <c r="F131" s="68">
        <v>56627.55</v>
      </c>
      <c r="G131" s="68">
        <v>75791.83</v>
      </c>
      <c r="H131" s="113">
        <v>532992.02</v>
      </c>
      <c r="I131" s="69">
        <v>0.0713</v>
      </c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</row>
    <row r="132">
      <c r="A132" s="67" t="s">
        <v>326</v>
      </c>
      <c r="B132" s="74"/>
      <c r="C132" s="68">
        <v>13650.11</v>
      </c>
      <c r="D132" s="68">
        <v>112313.65</v>
      </c>
      <c r="E132" s="68">
        <v>5026.24</v>
      </c>
      <c r="F132" s="65"/>
      <c r="G132" s="65"/>
      <c r="H132" s="68">
        <v>130990.0</v>
      </c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</row>
    <row r="133">
      <c r="A133" s="65"/>
      <c r="B133" s="65"/>
      <c r="C133" s="68">
        <v>272835.88</v>
      </c>
      <c r="D133" s="68">
        <v>2531369.43</v>
      </c>
      <c r="E133" s="65"/>
      <c r="F133" s="68">
        <v>846393.43</v>
      </c>
      <c r="G133" s="68">
        <v>1114192.78</v>
      </c>
      <c r="H133" s="68">
        <v>7602467.06</v>
      </c>
      <c r="I133" s="84">
        <v>1.0</v>
      </c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</row>
    <row r="134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</row>
    <row r="135">
      <c r="A135" s="65"/>
      <c r="B135" s="66" t="s">
        <v>497</v>
      </c>
      <c r="C135" s="66" t="s">
        <v>498</v>
      </c>
      <c r="D135" s="66" t="s">
        <v>499</v>
      </c>
      <c r="E135" s="66" t="s">
        <v>500</v>
      </c>
      <c r="F135" s="66" t="s">
        <v>501</v>
      </c>
      <c r="G135" s="66" t="s">
        <v>502</v>
      </c>
      <c r="H135" s="66" t="s">
        <v>503</v>
      </c>
      <c r="I135" s="66" t="s">
        <v>504</v>
      </c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</row>
    <row r="136">
      <c r="A136" s="67" t="s">
        <v>311</v>
      </c>
      <c r="B136" s="67">
        <v>93283.95</v>
      </c>
      <c r="C136" s="68">
        <v>53076.32</v>
      </c>
      <c r="D136" s="68">
        <v>94568.92</v>
      </c>
      <c r="E136" s="68">
        <v>214571.03</v>
      </c>
      <c r="F136" s="68">
        <v>145792.3</v>
      </c>
      <c r="G136" s="68">
        <v>261264.09</v>
      </c>
      <c r="H136" s="68">
        <v>43279.97544</v>
      </c>
      <c r="I136" s="68">
        <v>94548.68</v>
      </c>
      <c r="J136" s="120">
        <v>1000385.265</v>
      </c>
      <c r="K136" s="69">
        <v>0.1045</v>
      </c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</row>
    <row r="137">
      <c r="A137" s="67" t="s">
        <v>313</v>
      </c>
      <c r="B137" s="67">
        <v>93586.02</v>
      </c>
      <c r="C137" s="68">
        <v>53076.02</v>
      </c>
      <c r="D137" s="68">
        <v>94710.02</v>
      </c>
      <c r="E137" s="68">
        <v>214576.5</v>
      </c>
      <c r="F137" s="68">
        <v>145792.3</v>
      </c>
      <c r="G137" s="68">
        <v>261264.09</v>
      </c>
      <c r="H137" s="68">
        <v>43279.97544</v>
      </c>
      <c r="I137" s="68">
        <v>94548.68</v>
      </c>
      <c r="J137" s="120">
        <v>1000833.605</v>
      </c>
      <c r="K137" s="69">
        <v>0.1045</v>
      </c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</row>
    <row r="138">
      <c r="A138" s="67" t="s">
        <v>314</v>
      </c>
      <c r="B138" s="67">
        <v>26522.03</v>
      </c>
      <c r="C138" s="68">
        <v>3782.03</v>
      </c>
      <c r="D138" s="68">
        <v>-62.97</v>
      </c>
      <c r="E138" s="68">
        <v>16677.03</v>
      </c>
      <c r="F138" s="68">
        <v>62398.48</v>
      </c>
      <c r="G138" s="68">
        <v>20913.52</v>
      </c>
      <c r="H138" s="68">
        <v>11347.43274</v>
      </c>
      <c r="I138" s="68">
        <v>789.5</v>
      </c>
      <c r="J138" s="120">
        <v>142367.0527</v>
      </c>
      <c r="K138" s="69">
        <v>0.0149</v>
      </c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</row>
    <row r="139">
      <c r="A139" s="67" t="s">
        <v>315</v>
      </c>
      <c r="B139" s="67">
        <v>93283.98</v>
      </c>
      <c r="C139" s="68">
        <v>53076.04</v>
      </c>
      <c r="D139" s="68">
        <v>94569.5</v>
      </c>
      <c r="E139" s="68">
        <v>214571.49</v>
      </c>
      <c r="F139" s="68">
        <v>145792.3</v>
      </c>
      <c r="G139" s="68">
        <v>261264.09</v>
      </c>
      <c r="H139" s="68">
        <v>43279.97544</v>
      </c>
      <c r="I139" s="68">
        <v>94548.68</v>
      </c>
      <c r="J139" s="120">
        <v>1000386.055</v>
      </c>
      <c r="K139" s="69">
        <v>0.1045</v>
      </c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</row>
    <row r="140">
      <c r="A140" s="67" t="s">
        <v>319</v>
      </c>
      <c r="B140" s="67">
        <v>93299.99</v>
      </c>
      <c r="C140" s="68">
        <v>53076.05</v>
      </c>
      <c r="D140" s="68">
        <v>94575.5</v>
      </c>
      <c r="E140" s="68">
        <v>214571.25</v>
      </c>
      <c r="F140" s="68">
        <v>145792.3</v>
      </c>
      <c r="G140" s="68">
        <v>261264.09</v>
      </c>
      <c r="H140" s="68">
        <v>43279.97544</v>
      </c>
      <c r="I140" s="68">
        <v>94548.68</v>
      </c>
      <c r="J140" s="120">
        <v>1000407.835</v>
      </c>
      <c r="K140" s="69">
        <v>0.1045</v>
      </c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</row>
    <row r="141">
      <c r="A141" s="67" t="s">
        <v>320</v>
      </c>
      <c r="B141" s="67">
        <v>61199.0</v>
      </c>
      <c r="C141" s="68">
        <v>36202.06</v>
      </c>
      <c r="D141" s="68">
        <v>76372.71</v>
      </c>
      <c r="E141" s="68">
        <v>137216.91</v>
      </c>
      <c r="F141" s="68">
        <v>95333.59</v>
      </c>
      <c r="G141" s="68">
        <v>187557.69</v>
      </c>
      <c r="H141" s="68">
        <v>26814.22187</v>
      </c>
      <c r="I141" s="68">
        <v>93235.46</v>
      </c>
      <c r="J141" s="120">
        <v>713931.6419</v>
      </c>
      <c r="K141" s="69">
        <v>0.0746</v>
      </c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</row>
    <row r="142">
      <c r="A142" s="67" t="s">
        <v>321</v>
      </c>
      <c r="B142" s="67">
        <v>93284.0</v>
      </c>
      <c r="C142" s="68">
        <v>53076.32</v>
      </c>
      <c r="D142" s="68">
        <v>94569.19</v>
      </c>
      <c r="E142" s="68">
        <v>214571.46</v>
      </c>
      <c r="F142" s="68">
        <v>145792.3</v>
      </c>
      <c r="G142" s="68">
        <v>261264.09</v>
      </c>
      <c r="H142" s="68">
        <v>43279.97544</v>
      </c>
      <c r="I142" s="68">
        <v>94548.68</v>
      </c>
      <c r="J142" s="120">
        <v>1000386.015</v>
      </c>
      <c r="K142" s="69">
        <v>0.1045</v>
      </c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</row>
    <row r="143">
      <c r="A143" s="67" t="s">
        <v>322</v>
      </c>
      <c r="B143" s="67">
        <v>93284.02</v>
      </c>
      <c r="C143" s="68">
        <v>53076.08</v>
      </c>
      <c r="D143" s="68">
        <v>94569.54</v>
      </c>
      <c r="E143" s="68">
        <v>214571.28</v>
      </c>
      <c r="F143" s="68">
        <v>145792.3</v>
      </c>
      <c r="G143" s="68">
        <v>261264.09</v>
      </c>
      <c r="H143" s="68">
        <v>43279.97544</v>
      </c>
      <c r="I143" s="68">
        <v>94548.68</v>
      </c>
      <c r="J143" s="120">
        <v>1000385.965</v>
      </c>
      <c r="K143" s="69">
        <v>0.1045</v>
      </c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</row>
    <row r="144">
      <c r="A144" s="67" t="s">
        <v>323</v>
      </c>
      <c r="B144" s="67">
        <v>93284.03</v>
      </c>
      <c r="C144" s="68">
        <v>53076.31</v>
      </c>
      <c r="D144" s="68">
        <v>94568.75</v>
      </c>
      <c r="E144" s="68">
        <v>214570.94</v>
      </c>
      <c r="F144" s="68">
        <v>145792.3</v>
      </c>
      <c r="G144" s="68">
        <v>261264.09</v>
      </c>
      <c r="H144" s="68">
        <v>43279.97544</v>
      </c>
      <c r="I144" s="68">
        <v>94548.68</v>
      </c>
      <c r="J144" s="120">
        <v>1000385.075</v>
      </c>
      <c r="K144" s="69">
        <v>0.1045</v>
      </c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</row>
    <row r="145">
      <c r="A145" s="67" t="s">
        <v>324</v>
      </c>
      <c r="B145" s="67">
        <v>93284.05</v>
      </c>
      <c r="C145" s="68">
        <v>53076.11</v>
      </c>
      <c r="D145" s="68">
        <v>94569.57</v>
      </c>
      <c r="E145" s="68">
        <v>214571.31</v>
      </c>
      <c r="F145" s="68">
        <v>145792.3</v>
      </c>
      <c r="G145" s="68">
        <v>261264.09</v>
      </c>
      <c r="H145" s="68">
        <v>43279.97544</v>
      </c>
      <c r="I145" s="68">
        <v>94548.68</v>
      </c>
      <c r="J145" s="120">
        <v>1000386.085</v>
      </c>
      <c r="K145" s="69">
        <v>0.1045</v>
      </c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</row>
    <row r="146">
      <c r="A146" s="67" t="s">
        <v>325</v>
      </c>
      <c r="B146" s="67">
        <v>61168.06</v>
      </c>
      <c r="C146" s="68">
        <v>36202.12</v>
      </c>
      <c r="D146" s="68">
        <v>76350.58</v>
      </c>
      <c r="E146" s="68">
        <v>137302.32</v>
      </c>
      <c r="F146" s="68">
        <v>95333.59</v>
      </c>
      <c r="G146" s="68">
        <v>187557.69</v>
      </c>
      <c r="H146" s="68">
        <v>26814.22187</v>
      </c>
      <c r="I146" s="68">
        <v>93235.46</v>
      </c>
      <c r="J146" s="120">
        <v>713964.0419</v>
      </c>
      <c r="K146" s="69">
        <v>0.0746</v>
      </c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</row>
    <row r="147">
      <c r="A147" s="67" t="s">
        <v>326</v>
      </c>
      <c r="B147" s="74"/>
      <c r="C147" s="68">
        <v>25417.21</v>
      </c>
      <c r="D147" s="68">
        <v>40481.33</v>
      </c>
      <c r="E147" s="68">
        <v>96417.97</v>
      </c>
      <c r="F147" s="65"/>
      <c r="G147" s="65"/>
      <c r="H147" s="65"/>
      <c r="I147" s="65"/>
      <c r="J147" s="68">
        <v>162316.51</v>
      </c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</row>
    <row r="148">
      <c r="A148" s="65"/>
      <c r="B148" s="65"/>
      <c r="C148" s="65"/>
      <c r="D148" s="65"/>
      <c r="E148" s="65"/>
      <c r="F148" s="65"/>
      <c r="G148" s="65"/>
      <c r="H148" s="65"/>
      <c r="I148" s="65"/>
      <c r="J148" s="68">
        <v>9736135.15</v>
      </c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</row>
    <row r="149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</row>
    <row r="150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</row>
    <row r="151">
      <c r="A151" s="65"/>
      <c r="B151" s="66" t="s">
        <v>508</v>
      </c>
      <c r="C151" s="66" t="s">
        <v>509</v>
      </c>
      <c r="D151" s="66" t="s">
        <v>510</v>
      </c>
      <c r="E151" s="66" t="s">
        <v>511</v>
      </c>
      <c r="F151" s="66" t="s">
        <v>512</v>
      </c>
      <c r="G151" s="66" t="s">
        <v>513</v>
      </c>
      <c r="H151" s="66" t="s">
        <v>514</v>
      </c>
      <c r="I151" s="66" t="s">
        <v>515</v>
      </c>
      <c r="J151" s="66" t="s">
        <v>516</v>
      </c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</row>
    <row r="152">
      <c r="A152" s="67" t="s">
        <v>311</v>
      </c>
      <c r="B152" s="68">
        <v>141927.17</v>
      </c>
      <c r="C152" s="68">
        <v>41787.01</v>
      </c>
      <c r="D152" s="68">
        <v>319627.96</v>
      </c>
      <c r="E152" s="68">
        <v>85172.15</v>
      </c>
      <c r="F152" s="68">
        <v>84900.96</v>
      </c>
      <c r="G152" s="68">
        <v>17791.78</v>
      </c>
      <c r="H152" s="68">
        <v>67548.1</v>
      </c>
      <c r="I152" s="68">
        <v>196731.23</v>
      </c>
      <c r="J152" s="68">
        <v>35386.16</v>
      </c>
      <c r="K152" s="113">
        <v>990872.52</v>
      </c>
      <c r="L152" s="69">
        <v>0.1028</v>
      </c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</row>
    <row r="153">
      <c r="A153" s="67" t="s">
        <v>313</v>
      </c>
      <c r="B153" s="68">
        <v>141922.02</v>
      </c>
      <c r="C153" s="68">
        <v>41786.8</v>
      </c>
      <c r="D153" s="68">
        <v>306912.02</v>
      </c>
      <c r="E153" s="68">
        <v>82710.02</v>
      </c>
      <c r="F153" s="68">
        <v>84900.96</v>
      </c>
      <c r="G153" s="68">
        <v>0.0</v>
      </c>
      <c r="H153" s="68">
        <v>67548.1</v>
      </c>
      <c r="I153" s="68">
        <v>191651.23</v>
      </c>
      <c r="J153" s="68">
        <v>29249.92</v>
      </c>
      <c r="K153" s="113">
        <v>946681.07</v>
      </c>
      <c r="L153" s="69">
        <v>0.0982</v>
      </c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</row>
    <row r="154">
      <c r="A154" s="67" t="s">
        <v>314</v>
      </c>
      <c r="B154" s="68">
        <v>20288.03</v>
      </c>
      <c r="C154" s="68">
        <v>37946.33</v>
      </c>
      <c r="D154" s="68">
        <v>129390.03</v>
      </c>
      <c r="E154" s="68">
        <v>46430.03</v>
      </c>
      <c r="F154" s="68">
        <v>0.0</v>
      </c>
      <c r="G154" s="68">
        <v>17791.78</v>
      </c>
      <c r="H154" s="68">
        <v>63222.73</v>
      </c>
      <c r="I154" s="68">
        <v>0.0</v>
      </c>
      <c r="J154" s="68">
        <v>29249.92</v>
      </c>
      <c r="K154" s="113">
        <v>344318.85</v>
      </c>
      <c r="L154" s="69">
        <v>0.0357</v>
      </c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</row>
    <row r="155">
      <c r="A155" s="67" t="s">
        <v>315</v>
      </c>
      <c r="B155" s="68">
        <v>141926.49</v>
      </c>
      <c r="C155" s="68">
        <v>41787.04</v>
      </c>
      <c r="D155" s="68">
        <v>319627.84</v>
      </c>
      <c r="E155" s="68">
        <v>85172.04</v>
      </c>
      <c r="F155" s="68">
        <v>84900.96</v>
      </c>
      <c r="G155" s="68">
        <v>17791.78</v>
      </c>
      <c r="H155" s="68">
        <v>67548.1</v>
      </c>
      <c r="I155" s="68">
        <v>196731.23</v>
      </c>
      <c r="J155" s="68">
        <v>35386.16</v>
      </c>
      <c r="K155" s="113">
        <v>990871.64</v>
      </c>
      <c r="L155" s="69">
        <v>0.1028</v>
      </c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</row>
    <row r="156">
      <c r="A156" s="67" t="s">
        <v>319</v>
      </c>
      <c r="B156" s="68">
        <v>141922.05</v>
      </c>
      <c r="C156" s="68">
        <v>41786.66</v>
      </c>
      <c r="D156" s="68">
        <v>319627.63</v>
      </c>
      <c r="E156" s="68">
        <v>85172.19</v>
      </c>
      <c r="F156" s="68">
        <v>84900.96</v>
      </c>
      <c r="G156" s="68">
        <v>17791.78</v>
      </c>
      <c r="H156" s="68">
        <v>67548.1</v>
      </c>
      <c r="I156" s="68">
        <v>196731.23</v>
      </c>
      <c r="J156" s="68">
        <v>35386.16</v>
      </c>
      <c r="K156" s="113">
        <v>990866.76</v>
      </c>
      <c r="L156" s="69">
        <v>0.1028</v>
      </c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</row>
    <row r="157">
      <c r="A157" s="67" t="s">
        <v>320</v>
      </c>
      <c r="B157" s="68">
        <v>90371.51</v>
      </c>
      <c r="C157" s="68">
        <v>25572.63</v>
      </c>
      <c r="D157" s="68">
        <v>219070.88</v>
      </c>
      <c r="E157" s="68">
        <v>52949.2</v>
      </c>
      <c r="F157" s="68">
        <v>50924.95</v>
      </c>
      <c r="G157" s="68">
        <v>10671.79</v>
      </c>
      <c r="H157" s="68">
        <v>40657.09</v>
      </c>
      <c r="I157" s="68">
        <v>194698.88</v>
      </c>
      <c r="J157" s="68">
        <v>21290.26</v>
      </c>
      <c r="K157" s="113">
        <v>706207.19</v>
      </c>
      <c r="L157" s="69">
        <v>0.0732</v>
      </c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</row>
    <row r="158">
      <c r="A158" s="67" t="s">
        <v>321</v>
      </c>
      <c r="B158" s="68">
        <v>141927.06</v>
      </c>
      <c r="C158" s="68">
        <v>41787.06</v>
      </c>
      <c r="D158" s="68">
        <v>319628.19</v>
      </c>
      <c r="E158" s="68">
        <v>85172.07</v>
      </c>
      <c r="F158" s="68">
        <v>84900.96</v>
      </c>
      <c r="G158" s="68">
        <v>17791.78</v>
      </c>
      <c r="H158" s="68">
        <v>67548.1</v>
      </c>
      <c r="I158" s="68">
        <v>196731.23</v>
      </c>
      <c r="J158" s="68">
        <v>35386.16</v>
      </c>
      <c r="K158" s="113">
        <v>990872.61</v>
      </c>
      <c r="L158" s="69">
        <v>0.1028</v>
      </c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</row>
    <row r="159">
      <c r="A159" s="67" t="s">
        <v>322</v>
      </c>
      <c r="B159" s="68">
        <v>141927.08</v>
      </c>
      <c r="C159" s="68">
        <v>41787.28</v>
      </c>
      <c r="D159" s="68">
        <v>319628.08</v>
      </c>
      <c r="E159" s="68">
        <v>85172.22</v>
      </c>
      <c r="F159" s="68">
        <v>84900.96</v>
      </c>
      <c r="G159" s="68">
        <v>17791.78</v>
      </c>
      <c r="H159" s="68">
        <v>67548.1</v>
      </c>
      <c r="I159" s="68">
        <v>196731.23</v>
      </c>
      <c r="J159" s="68">
        <v>35386.16</v>
      </c>
      <c r="K159" s="113">
        <v>990872.89</v>
      </c>
      <c r="L159" s="69">
        <v>0.1028</v>
      </c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</row>
    <row r="160">
      <c r="A160" s="67" t="s">
        <v>323</v>
      </c>
      <c r="B160" s="68">
        <v>141926.54</v>
      </c>
      <c r="C160" s="68">
        <v>41787.09</v>
      </c>
      <c r="D160" s="68">
        <v>319627.71</v>
      </c>
      <c r="E160" s="68">
        <v>85172.23</v>
      </c>
      <c r="F160" s="68">
        <v>84900.96</v>
      </c>
      <c r="G160" s="68">
        <v>17791.78</v>
      </c>
      <c r="H160" s="68">
        <v>67548.1</v>
      </c>
      <c r="I160" s="68">
        <v>196731.23</v>
      </c>
      <c r="J160" s="68">
        <v>35386.16</v>
      </c>
      <c r="K160" s="113">
        <v>990871.8</v>
      </c>
      <c r="L160" s="69">
        <v>0.1028</v>
      </c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</row>
    <row r="161">
      <c r="A161" s="67" t="s">
        <v>324</v>
      </c>
      <c r="B161" s="68">
        <v>141927.11</v>
      </c>
      <c r="C161" s="68">
        <v>41787.11</v>
      </c>
      <c r="D161" s="68">
        <v>319628.11</v>
      </c>
      <c r="E161" s="68">
        <v>85172.25</v>
      </c>
      <c r="F161" s="68">
        <v>84900.96</v>
      </c>
      <c r="G161" s="68">
        <v>17791.78</v>
      </c>
      <c r="H161" s="68">
        <v>67548.1</v>
      </c>
      <c r="I161" s="68">
        <v>196731.23</v>
      </c>
      <c r="J161" s="68">
        <v>35386.16</v>
      </c>
      <c r="K161" s="113">
        <v>990872.81</v>
      </c>
      <c r="L161" s="69">
        <v>0.1028</v>
      </c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</row>
    <row r="162">
      <c r="A162" s="67" t="s">
        <v>325</v>
      </c>
      <c r="B162" s="68">
        <v>90371.12</v>
      </c>
      <c r="C162" s="68">
        <v>25572.32</v>
      </c>
      <c r="D162" s="68">
        <v>219283.12</v>
      </c>
      <c r="E162" s="68">
        <v>52949.12</v>
      </c>
      <c r="F162" s="68">
        <v>50924.95</v>
      </c>
      <c r="G162" s="68">
        <v>10671.79</v>
      </c>
      <c r="H162" s="68">
        <v>40657.09</v>
      </c>
      <c r="I162" s="68">
        <v>196731.23</v>
      </c>
      <c r="J162" s="68">
        <v>21290.26</v>
      </c>
      <c r="K162" s="113">
        <v>708451.0</v>
      </c>
      <c r="L162" s="69">
        <v>0.0735</v>
      </c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</row>
    <row r="163">
      <c r="A163" s="67" t="s">
        <v>326</v>
      </c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</row>
    <row r="164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8">
        <v>9641759.1</v>
      </c>
      <c r="L164" s="65"/>
      <c r="M164" s="65"/>
      <c r="N164" s="65"/>
      <c r="O164" s="65"/>
      <c r="P164" s="65"/>
      <c r="Q164" s="65"/>
      <c r="R164" s="65"/>
      <c r="S164" s="65"/>
      <c r="T164" s="91"/>
      <c r="U164" s="91"/>
      <c r="V164" s="91"/>
      <c r="W164" s="65"/>
    </row>
    <row r="165">
      <c r="A165" s="91"/>
      <c r="B165" s="88" t="s">
        <v>517</v>
      </c>
      <c r="C165" s="88" t="s">
        <v>518</v>
      </c>
      <c r="D165" s="90" t="s">
        <v>519</v>
      </c>
      <c r="E165" s="90" t="s">
        <v>520</v>
      </c>
      <c r="F165" s="90" t="s">
        <v>521</v>
      </c>
      <c r="G165" s="88" t="s">
        <v>253</v>
      </c>
      <c r="H165" s="90" t="s">
        <v>522</v>
      </c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65"/>
      <c r="U165" s="65"/>
      <c r="V165" s="65"/>
      <c r="W165" s="91"/>
    </row>
    <row r="166">
      <c r="A166" s="67" t="s">
        <v>311</v>
      </c>
      <c r="B166" s="68">
        <v>139926.821</v>
      </c>
      <c r="C166" s="68">
        <v>209848.89</v>
      </c>
      <c r="D166" s="68">
        <v>37055.16</v>
      </c>
      <c r="E166" s="68">
        <v>85172.15</v>
      </c>
      <c r="F166" s="68">
        <v>347629.705</v>
      </c>
      <c r="G166" s="68">
        <v>43026.01</v>
      </c>
      <c r="H166" s="68">
        <v>84057.63</v>
      </c>
      <c r="I166" s="68">
        <v>946716.37</v>
      </c>
      <c r="J166" s="69">
        <v>0.1017</v>
      </c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</row>
    <row r="167">
      <c r="A167" s="67" t="s">
        <v>313</v>
      </c>
      <c r="B167" s="68">
        <v>139926.821</v>
      </c>
      <c r="C167" s="68">
        <v>209871.15</v>
      </c>
      <c r="D167" s="68">
        <v>37055.16</v>
      </c>
      <c r="E167" s="68">
        <v>82710.02</v>
      </c>
      <c r="F167" s="68">
        <v>303702.015</v>
      </c>
      <c r="G167" s="68">
        <v>44855.02</v>
      </c>
      <c r="H167" s="68">
        <v>84057.63</v>
      </c>
      <c r="I167" s="68">
        <v>902177.82</v>
      </c>
      <c r="J167" s="69">
        <v>0.0969</v>
      </c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</row>
    <row r="168">
      <c r="A168" s="67" t="s">
        <v>314</v>
      </c>
      <c r="B168" s="68">
        <v>138966.264</v>
      </c>
      <c r="C168" s="68">
        <v>186531.03</v>
      </c>
      <c r="D168" s="68">
        <v>37055.16</v>
      </c>
      <c r="E168" s="68">
        <v>46430.03</v>
      </c>
      <c r="F168" s="68">
        <v>81463.1027</v>
      </c>
      <c r="G168" s="68">
        <v>58703.03</v>
      </c>
      <c r="H168" s="68">
        <v>78445.12</v>
      </c>
      <c r="I168" s="68">
        <v>627593.74</v>
      </c>
      <c r="J168" s="69">
        <v>0.0674</v>
      </c>
      <c r="K168" s="65"/>
      <c r="L168" s="65"/>
      <c r="M168" s="68">
        <v>1120714.73</v>
      </c>
      <c r="N168" s="65"/>
      <c r="O168" s="65"/>
      <c r="P168" s="65"/>
      <c r="Q168" s="65"/>
      <c r="R168" s="65"/>
      <c r="S168" s="65"/>
      <c r="T168" s="65"/>
      <c r="U168" s="65"/>
      <c r="V168" s="65"/>
      <c r="W168" s="65"/>
    </row>
    <row r="169">
      <c r="A169" s="67" t="s">
        <v>315</v>
      </c>
      <c r="B169" s="68">
        <v>139926.821</v>
      </c>
      <c r="C169" s="68">
        <v>209848.5</v>
      </c>
      <c r="D169" s="68">
        <v>37055.16</v>
      </c>
      <c r="E169" s="68">
        <v>85172.04</v>
      </c>
      <c r="F169" s="68">
        <v>347629.705</v>
      </c>
      <c r="G169" s="68">
        <v>43026.04</v>
      </c>
      <c r="H169" s="68">
        <v>84057.63</v>
      </c>
      <c r="I169" s="68">
        <v>946715.9</v>
      </c>
      <c r="J169" s="69">
        <v>0.1017</v>
      </c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</row>
    <row r="170">
      <c r="A170" s="67" t="s">
        <v>319</v>
      </c>
      <c r="B170" s="68">
        <v>139926.821</v>
      </c>
      <c r="C170" s="68">
        <v>209848.77</v>
      </c>
      <c r="D170" s="68">
        <v>37055.16</v>
      </c>
      <c r="E170" s="68">
        <v>85172.19</v>
      </c>
      <c r="F170" s="68">
        <v>347629.705</v>
      </c>
      <c r="G170" s="68">
        <v>43026.05</v>
      </c>
      <c r="H170" s="68">
        <v>84057.63</v>
      </c>
      <c r="I170" s="68">
        <v>946716.33</v>
      </c>
      <c r="J170" s="69">
        <v>0.1017</v>
      </c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</row>
    <row r="171">
      <c r="A171" s="67" t="s">
        <v>320</v>
      </c>
      <c r="B171" s="68">
        <v>84239.5203</v>
      </c>
      <c r="C171" s="68">
        <v>126363.78</v>
      </c>
      <c r="D171" s="68">
        <v>22308.72</v>
      </c>
      <c r="E171" s="68">
        <v>52949.2</v>
      </c>
      <c r="F171" s="68">
        <v>208700.161</v>
      </c>
      <c r="G171" s="68">
        <v>21195.06</v>
      </c>
      <c r="H171" s="68">
        <v>50593.63</v>
      </c>
      <c r="I171" s="68">
        <v>566350.07</v>
      </c>
      <c r="J171" s="69">
        <v>0.0609</v>
      </c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</row>
    <row r="172">
      <c r="A172" s="67" t="s">
        <v>321</v>
      </c>
      <c r="B172" s="68">
        <v>139926.821</v>
      </c>
      <c r="C172" s="68">
        <v>209848.93</v>
      </c>
      <c r="D172" s="68">
        <v>37055.16</v>
      </c>
      <c r="E172" s="68">
        <v>85172.07</v>
      </c>
      <c r="F172" s="68">
        <v>347629.705</v>
      </c>
      <c r="G172" s="68">
        <v>43025.95</v>
      </c>
      <c r="H172" s="68">
        <v>84057.63</v>
      </c>
      <c r="I172" s="68">
        <v>946716.27</v>
      </c>
      <c r="J172" s="69">
        <v>0.1017</v>
      </c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</row>
    <row r="173">
      <c r="A173" s="67" t="s">
        <v>322</v>
      </c>
      <c r="B173" s="68">
        <v>139926.821</v>
      </c>
      <c r="C173" s="68">
        <v>209848.8</v>
      </c>
      <c r="D173" s="68">
        <v>37055.16</v>
      </c>
      <c r="E173" s="68">
        <v>85172.22</v>
      </c>
      <c r="F173" s="68">
        <v>347629.705</v>
      </c>
      <c r="G173" s="68">
        <v>43026.08</v>
      </c>
      <c r="H173" s="68">
        <v>84057.63</v>
      </c>
      <c r="I173" s="68">
        <v>946716.42</v>
      </c>
      <c r="J173" s="69">
        <v>0.1017</v>
      </c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</row>
    <row r="174">
      <c r="A174" s="67" t="s">
        <v>323</v>
      </c>
      <c r="B174" s="68">
        <v>139926.821</v>
      </c>
      <c r="C174" s="68">
        <v>209848.81</v>
      </c>
      <c r="D174" s="68">
        <v>37055.16</v>
      </c>
      <c r="E174" s="68">
        <v>85172.23</v>
      </c>
      <c r="F174" s="68">
        <v>347629.705</v>
      </c>
      <c r="G174" s="68">
        <v>43026.09</v>
      </c>
      <c r="H174" s="68">
        <v>84057.63</v>
      </c>
      <c r="I174" s="68">
        <v>946716.45</v>
      </c>
      <c r="J174" s="69">
        <v>0.1017</v>
      </c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</row>
    <row r="175">
      <c r="A175" s="67" t="s">
        <v>324</v>
      </c>
      <c r="B175" s="68">
        <v>139926.821</v>
      </c>
      <c r="C175" s="68">
        <v>209848.82</v>
      </c>
      <c r="D175" s="68">
        <v>37055.16</v>
      </c>
      <c r="E175" s="68">
        <v>85172.25</v>
      </c>
      <c r="F175" s="68">
        <v>347629.705</v>
      </c>
      <c r="G175" s="68">
        <v>43026.1</v>
      </c>
      <c r="H175" s="68">
        <v>84057.63</v>
      </c>
      <c r="I175" s="68">
        <v>946716.49</v>
      </c>
      <c r="J175" s="69">
        <v>0.1017</v>
      </c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</row>
    <row r="176">
      <c r="A176" s="67" t="s">
        <v>325</v>
      </c>
      <c r="B176" s="68">
        <v>84239.5203</v>
      </c>
      <c r="C176" s="68">
        <v>126362.66</v>
      </c>
      <c r="D176" s="68">
        <v>22308.72</v>
      </c>
      <c r="E176" s="68">
        <v>52949.12</v>
      </c>
      <c r="F176" s="68">
        <v>226274.26</v>
      </c>
      <c r="G176" s="68">
        <v>21102.11</v>
      </c>
      <c r="H176" s="68">
        <v>50593.63</v>
      </c>
      <c r="I176" s="68">
        <v>583830.02</v>
      </c>
      <c r="J176" s="69">
        <v>0.0627</v>
      </c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</row>
    <row r="177">
      <c r="A177" s="67" t="s">
        <v>326</v>
      </c>
      <c r="B177" s="65"/>
      <c r="C177" s="65"/>
      <c r="D177" s="65"/>
      <c r="E177" s="65"/>
      <c r="F177" s="65"/>
      <c r="G177" s="65"/>
      <c r="H177" s="65"/>
      <c r="I177" s="68">
        <v>0.0</v>
      </c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</row>
    <row r="178">
      <c r="A178" s="65"/>
      <c r="B178" s="65"/>
      <c r="C178" s="65"/>
      <c r="D178" s="65"/>
      <c r="E178" s="65"/>
      <c r="F178" s="65"/>
      <c r="G178" s="65"/>
      <c r="H178" s="65"/>
      <c r="I178" s="68">
        <v>9306965.84</v>
      </c>
      <c r="J178" s="69">
        <v>1.0</v>
      </c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</row>
  </sheetData>
  <mergeCells count="2">
    <mergeCell ref="N1:S1"/>
    <mergeCell ref="T1:W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2"/>
      <c r="B1" s="92" t="s">
        <v>433</v>
      </c>
      <c r="C1" s="92" t="s">
        <v>434</v>
      </c>
      <c r="D1" s="92" t="s">
        <v>435</v>
      </c>
      <c r="E1" s="92" t="s">
        <v>436</v>
      </c>
      <c r="F1" s="92" t="s">
        <v>437</v>
      </c>
      <c r="G1" s="92" t="s">
        <v>438</v>
      </c>
      <c r="H1" s="92" t="s">
        <v>439</v>
      </c>
      <c r="I1" s="92" t="s">
        <v>440</v>
      </c>
      <c r="J1" s="92" t="s">
        <v>441</v>
      </c>
      <c r="K1" s="92" t="s">
        <v>442</v>
      </c>
      <c r="L1" s="92" t="s">
        <v>443</v>
      </c>
      <c r="M1" s="92" t="s">
        <v>444</v>
      </c>
      <c r="N1" s="92"/>
      <c r="O1" s="92"/>
      <c r="P1" s="92" t="s">
        <v>445</v>
      </c>
      <c r="Q1" s="92" t="s">
        <v>446</v>
      </c>
    </row>
    <row r="2">
      <c r="A2" s="92" t="s">
        <v>447</v>
      </c>
      <c r="B2" s="93">
        <v>2310252.26</v>
      </c>
      <c r="C2" s="94">
        <v>2205479.34</v>
      </c>
      <c r="D2" s="93">
        <v>2628427.24</v>
      </c>
      <c r="E2" s="93">
        <v>3118996.06</v>
      </c>
      <c r="F2" s="94">
        <v>2368591.14</v>
      </c>
      <c r="G2" s="93">
        <v>2376920.22</v>
      </c>
      <c r="H2" s="93">
        <v>2757663.58</v>
      </c>
      <c r="I2" s="93">
        <v>2999569.6</v>
      </c>
      <c r="J2" s="93">
        <v>4053697.74</v>
      </c>
      <c r="K2" s="94">
        <v>2249418.91</v>
      </c>
      <c r="L2" s="95">
        <v>4368524.33</v>
      </c>
      <c r="M2" s="95">
        <v>3613709.76</v>
      </c>
      <c r="N2" s="92"/>
      <c r="O2" s="92" t="s">
        <v>447</v>
      </c>
      <c r="P2" s="95">
        <f t="shared" ref="P2:P3" si="1">SUM(C2:M2)/COUNT(C2:M2)</f>
        <v>2976454.356</v>
      </c>
      <c r="Q2" s="96">
        <f t="shared" ref="Q2:Q3" si="2">P2/P$4</f>
        <v>0.6647751066</v>
      </c>
    </row>
    <row r="3">
      <c r="A3" s="92" t="s">
        <v>451</v>
      </c>
      <c r="B3" s="95">
        <v>1207582.0</v>
      </c>
      <c r="C3" s="97">
        <v>1308594.0</v>
      </c>
      <c r="D3" s="97">
        <v>1090184.0</v>
      </c>
      <c r="E3" s="95">
        <v>1512403.0</v>
      </c>
      <c r="F3" s="97">
        <v>1465753.11</v>
      </c>
      <c r="G3" s="95">
        <v>1019743.16</v>
      </c>
      <c r="H3" s="95">
        <v>954886.46</v>
      </c>
      <c r="I3" s="95">
        <v>1996238.9</v>
      </c>
      <c r="J3" s="95">
        <v>1530914.9</v>
      </c>
      <c r="K3" s="93">
        <v>1817602.76</v>
      </c>
      <c r="L3" s="95">
        <v>1317847.0</v>
      </c>
      <c r="M3" s="95">
        <v>2496074.19</v>
      </c>
      <c r="N3" s="92"/>
      <c r="O3" s="92" t="s">
        <v>451</v>
      </c>
      <c r="P3" s="95">
        <f t="shared" si="1"/>
        <v>1500931.044</v>
      </c>
      <c r="Q3" s="96">
        <f t="shared" si="2"/>
        <v>0.3352248934</v>
      </c>
    </row>
    <row r="4">
      <c r="A4" s="92" t="s">
        <v>452</v>
      </c>
      <c r="B4" s="93">
        <f t="shared" ref="B4:M4" si="3">SUM(B2:B3)</f>
        <v>3517834.26</v>
      </c>
      <c r="C4" s="93">
        <f t="shared" si="3"/>
        <v>3514073.34</v>
      </c>
      <c r="D4" s="93">
        <f t="shared" si="3"/>
        <v>3718611.24</v>
      </c>
      <c r="E4" s="93">
        <f t="shared" si="3"/>
        <v>4631399.06</v>
      </c>
      <c r="F4" s="93">
        <f t="shared" si="3"/>
        <v>3834344.25</v>
      </c>
      <c r="G4" s="93">
        <f t="shared" si="3"/>
        <v>3396663.38</v>
      </c>
      <c r="H4" s="93">
        <f t="shared" si="3"/>
        <v>3712550.04</v>
      </c>
      <c r="I4" s="93">
        <f t="shared" si="3"/>
        <v>4995808.5</v>
      </c>
      <c r="J4" s="93">
        <f t="shared" si="3"/>
        <v>5584612.64</v>
      </c>
      <c r="K4" s="93">
        <f t="shared" si="3"/>
        <v>4067021.67</v>
      </c>
      <c r="L4" s="95">
        <f t="shared" si="3"/>
        <v>5686371.33</v>
      </c>
      <c r="M4" s="95">
        <f t="shared" si="3"/>
        <v>6109783.95</v>
      </c>
      <c r="N4" s="92"/>
      <c r="O4" s="92"/>
      <c r="P4" s="95">
        <f>SUM(P2:P3)</f>
        <v>4477385.4</v>
      </c>
      <c r="Q4" s="92"/>
    </row>
    <row r="5">
      <c r="A5" s="92"/>
      <c r="B5" s="96">
        <f t="shared" ref="B5:M5" si="4">B3/B4</f>
        <v>0.3432742735</v>
      </c>
      <c r="C5" s="96">
        <f t="shared" si="4"/>
        <v>0.3723866503</v>
      </c>
      <c r="D5" s="96">
        <f t="shared" si="4"/>
        <v>0.2931696619</v>
      </c>
      <c r="E5" s="96">
        <f t="shared" si="4"/>
        <v>0.32655424</v>
      </c>
      <c r="F5" s="96">
        <f t="shared" si="4"/>
        <v>0.3822695654</v>
      </c>
      <c r="G5" s="96">
        <f t="shared" si="4"/>
        <v>0.3002190815</v>
      </c>
      <c r="H5" s="96">
        <f t="shared" si="4"/>
        <v>0.2572050073</v>
      </c>
      <c r="I5" s="96">
        <f t="shared" si="4"/>
        <v>0.3995827502</v>
      </c>
      <c r="J5" s="96">
        <f t="shared" si="4"/>
        <v>0.2741309019</v>
      </c>
      <c r="K5" s="96">
        <f t="shared" si="4"/>
        <v>0.4469124847</v>
      </c>
      <c r="L5" s="96">
        <f t="shared" si="4"/>
        <v>0.2317553539</v>
      </c>
      <c r="M5" s="96">
        <f t="shared" si="4"/>
        <v>0.4085372266</v>
      </c>
      <c r="N5" s="92"/>
      <c r="O5" s="92"/>
      <c r="P5" s="92"/>
      <c r="Q5" s="92"/>
    </row>
    <row r="6">
      <c r="A6" s="92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</row>
    <row r="7">
      <c r="A7" s="92"/>
      <c r="B7" s="92" t="s">
        <v>433</v>
      </c>
      <c r="C7" s="92" t="s">
        <v>434</v>
      </c>
      <c r="D7" s="92" t="s">
        <v>435</v>
      </c>
      <c r="E7" s="92" t="s">
        <v>436</v>
      </c>
      <c r="F7" s="92" t="s">
        <v>437</v>
      </c>
      <c r="G7" s="92" t="s">
        <v>438</v>
      </c>
      <c r="H7" s="92" t="s">
        <v>439</v>
      </c>
      <c r="I7" s="92" t="s">
        <v>440</v>
      </c>
      <c r="J7" s="92" t="s">
        <v>441</v>
      </c>
      <c r="K7" s="92" t="s">
        <v>442</v>
      </c>
      <c r="L7" s="92" t="s">
        <v>443</v>
      </c>
      <c r="M7" s="92" t="s">
        <v>444</v>
      </c>
      <c r="N7" s="92"/>
      <c r="O7" s="92"/>
      <c r="P7" s="92" t="s">
        <v>453</v>
      </c>
      <c r="Q7" s="92"/>
    </row>
    <row r="8">
      <c r="A8" s="98" t="s">
        <v>311</v>
      </c>
      <c r="B8" s="93">
        <v>485115.55</v>
      </c>
      <c r="C8" s="93">
        <v>455150.82</v>
      </c>
      <c r="D8" s="93">
        <v>463443.29</v>
      </c>
      <c r="E8" s="93">
        <v>549623.99</v>
      </c>
      <c r="F8" s="93">
        <v>445374.58</v>
      </c>
      <c r="G8" s="93">
        <v>382471.57</v>
      </c>
      <c r="H8" s="93">
        <v>445938.19</v>
      </c>
      <c r="I8" s="93">
        <v>563004.21</v>
      </c>
      <c r="J8" s="93">
        <v>633930.33</v>
      </c>
      <c r="K8" s="93">
        <v>458023.35</v>
      </c>
      <c r="L8" s="95">
        <v>649023.0</v>
      </c>
      <c r="M8" s="95">
        <v>694679.27</v>
      </c>
      <c r="N8" s="96">
        <f t="shared" ref="N8:N18" si="5">M8/$M$19</f>
        <v>0.113674569</v>
      </c>
      <c r="O8" s="99"/>
      <c r="P8" s="93">
        <f t="shared" ref="P8:P18" si="6">SUM(C8:M8)/COUNT(C8:M8)</f>
        <v>521878.4182</v>
      </c>
      <c r="Q8" s="92"/>
    </row>
    <row r="9">
      <c r="A9" s="98" t="s">
        <v>321</v>
      </c>
      <c r="B9" s="93">
        <v>485115.55</v>
      </c>
      <c r="C9" s="95">
        <v>455150.82</v>
      </c>
      <c r="D9" s="95">
        <v>463443.29</v>
      </c>
      <c r="E9" s="93">
        <v>549623.99</v>
      </c>
      <c r="F9" s="95">
        <v>445374.58</v>
      </c>
      <c r="G9" s="95">
        <v>382471.59</v>
      </c>
      <c r="H9" s="95">
        <v>445938.19</v>
      </c>
      <c r="I9" s="95">
        <v>563004.23</v>
      </c>
      <c r="J9" s="93">
        <v>633930.35</v>
      </c>
      <c r="K9" s="93">
        <v>458023.37</v>
      </c>
      <c r="L9" s="95">
        <v>649023.0</v>
      </c>
      <c r="M9" s="95">
        <v>694679.33</v>
      </c>
      <c r="N9" s="96">
        <f t="shared" si="5"/>
        <v>0.1136745789</v>
      </c>
      <c r="O9" s="99"/>
      <c r="P9" s="93">
        <f t="shared" si="6"/>
        <v>521878.4309</v>
      </c>
      <c r="Q9" s="92"/>
    </row>
    <row r="10">
      <c r="A10" s="98" t="s">
        <v>315</v>
      </c>
      <c r="B10" s="93">
        <v>484925.55</v>
      </c>
      <c r="C10" s="93">
        <v>455171.82</v>
      </c>
      <c r="D10" s="95">
        <v>463291.29</v>
      </c>
      <c r="E10" s="93">
        <v>549623.99</v>
      </c>
      <c r="F10" s="93">
        <v>445374.58</v>
      </c>
      <c r="G10" s="95">
        <v>382471.61</v>
      </c>
      <c r="H10" s="95">
        <v>445938.19</v>
      </c>
      <c r="I10" s="95">
        <v>563004.25</v>
      </c>
      <c r="J10" s="93">
        <v>633930.37</v>
      </c>
      <c r="K10" s="93">
        <v>458023.37</v>
      </c>
      <c r="L10" s="95">
        <v>649023.0</v>
      </c>
      <c r="M10" s="95">
        <v>694681.31</v>
      </c>
      <c r="N10" s="96">
        <f t="shared" si="5"/>
        <v>0.1136749029</v>
      </c>
      <c r="O10" s="99"/>
      <c r="P10" s="93">
        <f t="shared" si="6"/>
        <v>521866.7073</v>
      </c>
      <c r="Q10" s="92"/>
    </row>
    <row r="11">
      <c r="A11" s="98" t="s">
        <v>320</v>
      </c>
      <c r="B11" s="93">
        <v>483217.55</v>
      </c>
      <c r="C11" s="93">
        <v>455253.82</v>
      </c>
      <c r="D11" s="95">
        <v>463121.29</v>
      </c>
      <c r="E11" s="93">
        <v>549643.99</v>
      </c>
      <c r="F11" s="93">
        <v>441360.64</v>
      </c>
      <c r="G11" s="95">
        <v>382859.63</v>
      </c>
      <c r="H11" s="95">
        <v>445832.26</v>
      </c>
      <c r="I11" s="93">
        <v>512723.05</v>
      </c>
      <c r="J11" s="93">
        <v>513416.34</v>
      </c>
      <c r="K11" s="93">
        <v>402566.35</v>
      </c>
      <c r="L11" s="95">
        <v>495609.0</v>
      </c>
      <c r="M11" s="95">
        <v>474596.45</v>
      </c>
      <c r="N11" s="96">
        <f t="shared" si="5"/>
        <v>0.07766108657</v>
      </c>
      <c r="O11" s="99"/>
      <c r="P11" s="93">
        <f t="shared" si="6"/>
        <v>466998.4382</v>
      </c>
      <c r="Q11" s="92"/>
    </row>
    <row r="12">
      <c r="A12" s="98" t="s">
        <v>325</v>
      </c>
      <c r="B12" s="93">
        <v>481969.55</v>
      </c>
      <c r="C12" s="93">
        <v>455336.82</v>
      </c>
      <c r="D12" s="95">
        <v>462741.29</v>
      </c>
      <c r="E12" s="93">
        <v>549662.99</v>
      </c>
      <c r="F12" s="93">
        <v>445374.58</v>
      </c>
      <c r="G12" s="95">
        <v>382471.61</v>
      </c>
      <c r="H12" s="95">
        <v>445938.19</v>
      </c>
      <c r="I12" s="95">
        <v>563004.29</v>
      </c>
      <c r="J12" s="93">
        <v>633930.43</v>
      </c>
      <c r="K12" s="93">
        <v>458023.37</v>
      </c>
      <c r="L12" s="95">
        <v>621893.0</v>
      </c>
      <c r="M12" s="95">
        <v>537819.06</v>
      </c>
      <c r="N12" s="96">
        <f t="shared" si="5"/>
        <v>0.08800658449</v>
      </c>
      <c r="O12" s="99"/>
      <c r="P12" s="93">
        <f t="shared" si="6"/>
        <v>505108.6936</v>
      </c>
      <c r="Q12" s="92"/>
    </row>
    <row r="13">
      <c r="A13" s="98" t="s">
        <v>323</v>
      </c>
      <c r="B13" s="93">
        <v>481969.55</v>
      </c>
      <c r="C13" s="93">
        <v>455336.82</v>
      </c>
      <c r="D13" s="95">
        <v>461217.29</v>
      </c>
      <c r="E13" s="93">
        <v>549739.99</v>
      </c>
      <c r="F13" s="93">
        <v>445374.58</v>
      </c>
      <c r="G13" s="95">
        <v>382471.61</v>
      </c>
      <c r="H13" s="95">
        <v>445938.19</v>
      </c>
      <c r="I13" s="95">
        <v>563004.31</v>
      </c>
      <c r="J13" s="93">
        <v>633930.43</v>
      </c>
      <c r="K13" s="93">
        <v>458023.37</v>
      </c>
      <c r="L13" s="95">
        <v>649023.0</v>
      </c>
      <c r="M13" s="95">
        <v>694679.39</v>
      </c>
      <c r="N13" s="96">
        <f t="shared" si="5"/>
        <v>0.1136745887</v>
      </c>
      <c r="O13" s="99"/>
      <c r="P13" s="93">
        <f t="shared" si="6"/>
        <v>521703.5436</v>
      </c>
      <c r="Q13" s="92"/>
    </row>
    <row r="14">
      <c r="A14" s="98" t="s">
        <v>322</v>
      </c>
      <c r="B14" s="93">
        <v>307760.48</v>
      </c>
      <c r="C14" s="93">
        <v>391336.21</v>
      </c>
      <c r="D14" s="93">
        <v>443459.51</v>
      </c>
      <c r="E14" s="93">
        <v>540411.1</v>
      </c>
      <c r="F14" s="93">
        <v>426232.47</v>
      </c>
      <c r="G14" s="93">
        <v>382842.63</v>
      </c>
      <c r="H14" s="95">
        <v>440484.22</v>
      </c>
      <c r="I14" s="95">
        <v>557763.33</v>
      </c>
      <c r="J14" s="93">
        <v>634224.45</v>
      </c>
      <c r="K14" s="93">
        <v>458076.49</v>
      </c>
      <c r="L14" s="95">
        <v>647263.0</v>
      </c>
      <c r="M14" s="95">
        <v>694758.39</v>
      </c>
      <c r="N14" s="96">
        <f t="shared" si="5"/>
        <v>0.1136875159</v>
      </c>
      <c r="O14" s="99"/>
      <c r="P14" s="93">
        <f t="shared" si="6"/>
        <v>510622.8909</v>
      </c>
      <c r="Q14" s="92"/>
    </row>
    <row r="15">
      <c r="A15" s="98" t="s">
        <v>324</v>
      </c>
      <c r="B15" s="93">
        <v>307760.48</v>
      </c>
      <c r="C15" s="93">
        <v>391336.21</v>
      </c>
      <c r="D15" s="93">
        <v>443459.51</v>
      </c>
      <c r="E15" s="93">
        <v>540411.1</v>
      </c>
      <c r="F15" s="93">
        <v>426232.47</v>
      </c>
      <c r="G15" s="93">
        <v>382842.63</v>
      </c>
      <c r="H15" s="93">
        <v>440484.22</v>
      </c>
      <c r="I15" s="95">
        <v>557763.35</v>
      </c>
      <c r="J15" s="93">
        <v>634224.47</v>
      </c>
      <c r="K15" s="93">
        <v>458076.49</v>
      </c>
      <c r="L15" s="95">
        <v>647263.0</v>
      </c>
      <c r="M15" s="95">
        <v>694758.43</v>
      </c>
      <c r="N15" s="96">
        <f t="shared" si="5"/>
        <v>0.1136875225</v>
      </c>
      <c r="O15" s="99"/>
      <c r="P15" s="93">
        <f t="shared" si="6"/>
        <v>510622.8982</v>
      </c>
      <c r="Q15" s="92"/>
    </row>
    <row r="16">
      <c r="A16" s="92" t="s">
        <v>319</v>
      </c>
      <c r="B16" s="95">
        <v>0.0</v>
      </c>
      <c r="C16" s="95">
        <v>0.0</v>
      </c>
      <c r="D16" s="93">
        <v>54434.48</v>
      </c>
      <c r="E16" s="93">
        <v>252657.92</v>
      </c>
      <c r="F16" s="93">
        <v>313645.77</v>
      </c>
      <c r="G16" s="95">
        <v>335760.5</v>
      </c>
      <c r="H16" s="93">
        <v>435360.4</v>
      </c>
      <c r="I16" s="93">
        <v>552537.48</v>
      </c>
      <c r="J16" s="93">
        <v>633095.49</v>
      </c>
      <c r="K16" s="93">
        <v>458185.51</v>
      </c>
      <c r="L16" s="95">
        <v>637555.0</v>
      </c>
      <c r="M16" s="95">
        <v>694645.38</v>
      </c>
      <c r="N16" s="96">
        <f t="shared" si="5"/>
        <v>0.1136690234</v>
      </c>
      <c r="O16" s="92"/>
      <c r="P16" s="93">
        <f t="shared" si="6"/>
        <v>397079.8118</v>
      </c>
      <c r="Q16" s="92"/>
    </row>
    <row r="17">
      <c r="A17" s="92" t="s">
        <v>398</v>
      </c>
      <c r="B17" s="95">
        <v>0.0</v>
      </c>
      <c r="C17" s="95">
        <v>0.0</v>
      </c>
      <c r="D17" s="95">
        <v>0.0</v>
      </c>
      <c r="E17" s="95">
        <v>0.0</v>
      </c>
      <c r="F17" s="95">
        <v>0.0</v>
      </c>
      <c r="G17" s="95">
        <v>0.0</v>
      </c>
      <c r="H17" s="95">
        <v>0.0</v>
      </c>
      <c r="I17" s="95">
        <v>0.0</v>
      </c>
      <c r="J17" s="95">
        <v>0.0</v>
      </c>
      <c r="K17" s="95">
        <v>0.0</v>
      </c>
      <c r="L17" s="95">
        <v>40697.18</v>
      </c>
      <c r="M17" s="95">
        <v>234486.94</v>
      </c>
      <c r="N17" s="96">
        <f t="shared" si="5"/>
        <v>0.03837051572</v>
      </c>
      <c r="O17" s="92"/>
      <c r="P17" s="93">
        <f t="shared" si="6"/>
        <v>25016.73818</v>
      </c>
      <c r="Q17" s="92"/>
    </row>
    <row r="18">
      <c r="A18" s="92" t="s">
        <v>313</v>
      </c>
      <c r="B18" s="95">
        <v>0.0</v>
      </c>
      <c r="C18" s="95">
        <v>0.0</v>
      </c>
      <c r="D18" s="95">
        <v>0.0</v>
      </c>
      <c r="E18" s="95">
        <v>0.0</v>
      </c>
      <c r="F18" s="95">
        <v>0.0</v>
      </c>
      <c r="G18" s="95">
        <v>0.0</v>
      </c>
      <c r="H18" s="95">
        <v>0.0</v>
      </c>
      <c r="I18" s="95">
        <v>0.0</v>
      </c>
      <c r="J18" s="95">
        <v>0.0</v>
      </c>
      <c r="K18" s="95">
        <v>0.0</v>
      </c>
      <c r="L18" s="95">
        <v>0.0</v>
      </c>
      <c r="M18" s="95">
        <v>1339.02</v>
      </c>
      <c r="N18" s="96">
        <f t="shared" si="5"/>
        <v>0.0002191119384</v>
      </c>
      <c r="O18" s="92"/>
      <c r="P18" s="93">
        <f t="shared" si="6"/>
        <v>121.7290909</v>
      </c>
      <c r="Q18" s="92"/>
    </row>
    <row r="19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5">
        <f>SUM(M8:M18)</f>
        <v>6111122.97</v>
      </c>
      <c r="N19" s="92"/>
      <c r="O19" s="92"/>
      <c r="P19" s="92"/>
      <c r="Q19" s="92"/>
    </row>
    <row r="20">
      <c r="A20" s="92" t="s">
        <v>444</v>
      </c>
      <c r="B20" s="92"/>
      <c r="C20" s="92"/>
      <c r="D20" s="92"/>
      <c r="E20" s="92"/>
      <c r="F20" s="92"/>
      <c r="G20" s="92"/>
      <c r="H20" s="92"/>
      <c r="I20" s="100"/>
      <c r="J20" s="92"/>
      <c r="K20" s="92"/>
      <c r="L20" s="100"/>
      <c r="M20" s="92"/>
      <c r="N20" s="92"/>
      <c r="O20" s="92"/>
      <c r="P20" s="92"/>
      <c r="Q20" s="92"/>
    </row>
    <row r="21">
      <c r="A21" s="92"/>
      <c r="B21" s="92" t="s">
        <v>351</v>
      </c>
      <c r="C21" s="92" t="s">
        <v>104</v>
      </c>
      <c r="D21" s="92" t="s">
        <v>456</v>
      </c>
      <c r="E21" s="92"/>
      <c r="F21" s="92"/>
      <c r="G21" s="92"/>
      <c r="H21" s="92"/>
      <c r="I21" s="100"/>
      <c r="J21" s="92"/>
      <c r="K21" s="92"/>
      <c r="L21" s="100"/>
      <c r="M21" s="92"/>
      <c r="N21" s="92"/>
      <c r="O21" s="92"/>
      <c r="P21" s="92"/>
      <c r="Q21" s="92"/>
    </row>
    <row r="22">
      <c r="A22" s="92" t="s">
        <v>457</v>
      </c>
      <c r="B22" s="95">
        <v>410216.25</v>
      </c>
      <c r="C22" s="95">
        <v>284463.02</v>
      </c>
      <c r="D22" s="95">
        <v>694679.27</v>
      </c>
      <c r="E22" s="96">
        <v>0.1137</v>
      </c>
      <c r="F22" s="92"/>
      <c r="G22" s="92"/>
      <c r="H22" s="92"/>
      <c r="I22" s="100"/>
      <c r="J22" s="92"/>
      <c r="K22" s="92"/>
      <c r="L22" s="100"/>
      <c r="M22" s="92"/>
      <c r="N22" s="92"/>
      <c r="O22" s="92"/>
      <c r="P22" s="92"/>
      <c r="Q22" s="92"/>
    </row>
    <row r="23">
      <c r="A23" s="92" t="s">
        <v>458</v>
      </c>
      <c r="B23" s="95">
        <v>410216.25</v>
      </c>
      <c r="C23" s="95">
        <v>284465.06</v>
      </c>
      <c r="D23" s="95">
        <v>694681.31</v>
      </c>
      <c r="E23" s="96">
        <v>0.1137</v>
      </c>
      <c r="F23" s="92"/>
      <c r="G23" s="92"/>
      <c r="H23" s="92"/>
      <c r="I23" s="100"/>
      <c r="J23" s="92"/>
      <c r="K23" s="92"/>
      <c r="L23" s="100"/>
      <c r="M23" s="92"/>
      <c r="N23" s="92"/>
      <c r="O23" s="92"/>
      <c r="P23" s="92"/>
      <c r="Q23" s="92"/>
    </row>
    <row r="24">
      <c r="A24" s="92" t="s">
        <v>25</v>
      </c>
      <c r="B24" s="95">
        <v>410216.25</v>
      </c>
      <c r="C24" s="95">
        <v>284429.13</v>
      </c>
      <c r="D24" s="95">
        <v>694645.38</v>
      </c>
      <c r="E24" s="96">
        <v>0.1137</v>
      </c>
      <c r="F24" s="92"/>
      <c r="G24" s="92"/>
      <c r="H24" s="92"/>
      <c r="I24" s="100"/>
      <c r="J24" s="92"/>
      <c r="K24" s="92"/>
      <c r="L24" s="100"/>
      <c r="M24" s="92"/>
      <c r="N24" s="92"/>
      <c r="O24" s="92"/>
      <c r="P24" s="92"/>
      <c r="Q24" s="92"/>
    </row>
    <row r="25">
      <c r="A25" s="92" t="s">
        <v>26</v>
      </c>
      <c r="B25" s="95">
        <v>287825.36</v>
      </c>
      <c r="C25" s="95">
        <v>186771.09</v>
      </c>
      <c r="D25" s="95">
        <v>474596.45</v>
      </c>
      <c r="E25" s="96">
        <v>0.0777</v>
      </c>
      <c r="F25" s="92"/>
      <c r="G25" s="92"/>
      <c r="H25" s="92"/>
      <c r="I25" s="100"/>
      <c r="J25" s="92"/>
      <c r="K25" s="92"/>
      <c r="L25" s="100"/>
      <c r="M25" s="92"/>
      <c r="N25" s="92"/>
      <c r="O25" s="92"/>
      <c r="P25" s="92"/>
      <c r="Q25" s="92"/>
    </row>
    <row r="26">
      <c r="A26" s="92" t="s">
        <v>459</v>
      </c>
      <c r="B26" s="95">
        <v>410216.25</v>
      </c>
      <c r="C26" s="95">
        <v>284463.08</v>
      </c>
      <c r="D26" s="95">
        <v>694679.33</v>
      </c>
      <c r="E26" s="96">
        <v>0.1137</v>
      </c>
      <c r="F26" s="92"/>
      <c r="G26" s="92"/>
      <c r="H26" s="92"/>
      <c r="I26" s="100"/>
      <c r="J26" s="92"/>
      <c r="K26" s="92"/>
      <c r="L26" s="100"/>
      <c r="M26" s="92"/>
      <c r="N26" s="92"/>
      <c r="O26" s="92"/>
      <c r="P26" s="92"/>
      <c r="Q26" s="92"/>
    </row>
    <row r="27">
      <c r="A27" s="92" t="s">
        <v>28</v>
      </c>
      <c r="B27" s="95">
        <v>410216.25</v>
      </c>
      <c r="C27" s="95">
        <v>284542.14</v>
      </c>
      <c r="D27" s="95">
        <v>694758.39</v>
      </c>
      <c r="E27" s="96">
        <v>0.1137</v>
      </c>
      <c r="F27" s="92"/>
      <c r="G27" s="92"/>
      <c r="H27" s="92"/>
      <c r="I27" s="100"/>
      <c r="J27" s="92"/>
      <c r="K27" s="92"/>
      <c r="L27" s="100"/>
      <c r="M27" s="92"/>
      <c r="N27" s="92"/>
      <c r="O27" s="92"/>
      <c r="P27" s="92"/>
      <c r="Q27" s="92"/>
    </row>
    <row r="28">
      <c r="A28" s="92" t="s">
        <v>460</v>
      </c>
      <c r="B28" s="95">
        <v>132443.75</v>
      </c>
      <c r="C28" s="95">
        <v>102043.19</v>
      </c>
      <c r="D28" s="95">
        <v>234486.94</v>
      </c>
      <c r="E28" s="96">
        <v>0.0384</v>
      </c>
      <c r="F28" s="92"/>
      <c r="G28" s="92"/>
      <c r="H28" s="92"/>
      <c r="I28" s="100"/>
      <c r="J28" s="92"/>
      <c r="K28" s="92"/>
      <c r="L28" s="100"/>
      <c r="M28" s="92"/>
      <c r="N28" s="92"/>
      <c r="O28" s="92"/>
      <c r="P28" s="92"/>
      <c r="Q28" s="92"/>
    </row>
    <row r="29">
      <c r="A29" s="92" t="s">
        <v>30</v>
      </c>
      <c r="B29" s="95">
        <v>410216.25</v>
      </c>
      <c r="C29" s="95">
        <v>284463.14</v>
      </c>
      <c r="D29" s="95">
        <v>694679.39</v>
      </c>
      <c r="E29" s="96">
        <v>0.1137</v>
      </c>
      <c r="F29" s="92"/>
      <c r="G29" s="92"/>
      <c r="H29" s="92"/>
      <c r="I29" s="100"/>
      <c r="J29" s="92"/>
      <c r="K29" s="92"/>
      <c r="L29" s="100"/>
      <c r="M29" s="92"/>
      <c r="N29" s="92"/>
      <c r="O29" s="92"/>
      <c r="P29" s="92"/>
      <c r="Q29" s="92"/>
    </row>
    <row r="30">
      <c r="A30" s="92" t="s">
        <v>31</v>
      </c>
      <c r="B30" s="95">
        <v>410216.25</v>
      </c>
      <c r="C30" s="95">
        <v>284542.18</v>
      </c>
      <c r="D30" s="95">
        <v>694758.43</v>
      </c>
      <c r="E30" s="96">
        <v>0.1137</v>
      </c>
      <c r="F30" s="92"/>
      <c r="G30" s="92"/>
      <c r="H30" s="92"/>
      <c r="I30" s="100"/>
      <c r="J30" s="92"/>
      <c r="K30" s="92"/>
      <c r="L30" s="92"/>
      <c r="M30" s="92"/>
      <c r="N30" s="92"/>
      <c r="O30" s="92"/>
      <c r="P30" s="92"/>
      <c r="Q30" s="92"/>
    </row>
    <row r="31">
      <c r="A31" s="92" t="s">
        <v>35</v>
      </c>
      <c r="B31" s="95">
        <v>321926.9</v>
      </c>
      <c r="C31" s="95">
        <v>215892.16</v>
      </c>
      <c r="D31" s="95">
        <v>537819.06</v>
      </c>
      <c r="E31" s="96">
        <v>0.088</v>
      </c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</row>
    <row r="32">
      <c r="A32" s="92" t="s">
        <v>461</v>
      </c>
      <c r="B32" s="95">
        <v>0.0</v>
      </c>
      <c r="C32" s="95">
        <v>1339.02</v>
      </c>
      <c r="D32" s="95">
        <v>1339.02</v>
      </c>
      <c r="E32" s="96">
        <v>2.0E-4</v>
      </c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</row>
    <row r="33">
      <c r="A33" s="92"/>
      <c r="B33" s="95">
        <v>3613709.76</v>
      </c>
      <c r="C33" s="95">
        <v>2497413.21</v>
      </c>
      <c r="D33" s="95">
        <v>6111122.97</v>
      </c>
      <c r="E33" s="96">
        <v>1.0</v>
      </c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</row>
    <row r="34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</row>
    <row r="35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</row>
    <row r="36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</row>
    <row r="37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</row>
    <row r="38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</row>
    <row r="39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</row>
    <row r="40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</row>
    <row r="4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</row>
    <row r="42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</row>
    <row r="43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</row>
    <row r="44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</row>
    <row r="45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</row>
    <row r="46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</row>
    <row r="48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</row>
    <row r="49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</row>
    <row r="50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</row>
    <row r="5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</row>
    <row r="52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</row>
    <row r="53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</row>
    <row r="54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</row>
    <row r="55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</row>
    <row r="56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</row>
    <row r="57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</row>
    <row r="58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</row>
    <row r="59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</row>
    <row r="60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</row>
    <row r="6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</row>
    <row r="6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</row>
    <row r="63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</row>
    <row r="64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</row>
    <row r="6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</row>
    <row r="66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1" t="s">
        <v>442</v>
      </c>
      <c r="B1" s="92"/>
      <c r="C1" s="92"/>
      <c r="D1" s="92"/>
      <c r="E1" s="92"/>
      <c r="F1" s="92" t="s">
        <v>443</v>
      </c>
      <c r="G1" s="92"/>
      <c r="H1" s="92"/>
      <c r="I1" s="92"/>
      <c r="J1" s="92"/>
      <c r="K1" s="92"/>
      <c r="L1" s="92" t="s">
        <v>434</v>
      </c>
      <c r="M1" s="92" t="s">
        <v>435</v>
      </c>
      <c r="N1" s="92" t="s">
        <v>436</v>
      </c>
      <c r="O1" s="92" t="s">
        <v>437</v>
      </c>
      <c r="P1" s="92" t="s">
        <v>438</v>
      </c>
    </row>
    <row r="2">
      <c r="A2" s="101" t="s">
        <v>3</v>
      </c>
      <c r="B2" s="101" t="s">
        <v>351</v>
      </c>
      <c r="C2" s="101" t="s">
        <v>104</v>
      </c>
      <c r="D2" s="101" t="s">
        <v>456</v>
      </c>
      <c r="E2" s="92"/>
      <c r="F2" s="92" t="s">
        <v>3</v>
      </c>
      <c r="G2" s="92" t="s">
        <v>351</v>
      </c>
      <c r="H2" s="92" t="s">
        <v>104</v>
      </c>
      <c r="I2" s="92" t="s">
        <v>456</v>
      </c>
      <c r="J2" s="92"/>
      <c r="K2" s="92" t="s">
        <v>447</v>
      </c>
      <c r="L2" s="95">
        <f>B119</f>
        <v>2189096.53</v>
      </c>
      <c r="M2" s="93">
        <f>B106</f>
        <v>1785034.81</v>
      </c>
      <c r="N2" s="93">
        <f>B93</f>
        <v>1668385.62</v>
      </c>
      <c r="O2" s="93">
        <f>B79</f>
        <v>1817988.9</v>
      </c>
      <c r="P2" s="93">
        <f>B67</f>
        <v>1878317.83</v>
      </c>
    </row>
    <row r="3">
      <c r="A3" s="98" t="s">
        <v>311</v>
      </c>
      <c r="B3" s="102">
        <v>369765.17</v>
      </c>
      <c r="C3" s="103">
        <v>163124.0</v>
      </c>
      <c r="D3" s="104">
        <v>532889.17</v>
      </c>
      <c r="E3" s="92"/>
      <c r="F3" s="92" t="s">
        <v>311</v>
      </c>
      <c r="G3" s="95">
        <v>330384.75</v>
      </c>
      <c r="H3" s="95">
        <v>171902.0</v>
      </c>
      <c r="I3" s="95">
        <v>502286.75</v>
      </c>
      <c r="J3" s="92"/>
      <c r="K3" s="92" t="s">
        <v>451</v>
      </c>
      <c r="L3" s="95">
        <f>C119</f>
        <v>731706</v>
      </c>
      <c r="M3" s="93">
        <f>C106</f>
        <v>401281.9493</v>
      </c>
      <c r="N3" s="93">
        <f>C93</f>
        <v>956672.45</v>
      </c>
      <c r="O3" s="95">
        <f>C79</f>
        <v>445519.64</v>
      </c>
      <c r="P3" s="93">
        <f>C67</f>
        <v>709755.23</v>
      </c>
    </row>
    <row r="4">
      <c r="A4" s="98" t="s">
        <v>321</v>
      </c>
      <c r="B4" s="102">
        <v>369765.17</v>
      </c>
      <c r="C4" s="103">
        <v>163124.0</v>
      </c>
      <c r="D4" s="104">
        <v>532889.17</v>
      </c>
      <c r="E4" s="92"/>
      <c r="F4" s="92" t="s">
        <v>321</v>
      </c>
      <c r="G4" s="95">
        <v>330384.75</v>
      </c>
      <c r="H4" s="95">
        <v>171902.0</v>
      </c>
      <c r="I4" s="95">
        <v>502286.75</v>
      </c>
      <c r="J4" s="92"/>
      <c r="K4" s="92" t="s">
        <v>452</v>
      </c>
      <c r="L4" s="95">
        <f t="shared" ref="L4:P4" si="1">SUM(L2:L3)</f>
        <v>2920802.53</v>
      </c>
      <c r="M4" s="93">
        <f t="shared" si="1"/>
        <v>2186316.759</v>
      </c>
      <c r="N4" s="93">
        <f t="shared" si="1"/>
        <v>2625058.07</v>
      </c>
      <c r="O4" s="93">
        <f t="shared" si="1"/>
        <v>2263508.54</v>
      </c>
      <c r="P4" s="93">
        <f t="shared" si="1"/>
        <v>2588073.06</v>
      </c>
    </row>
    <row r="5">
      <c r="A5" s="98" t="s">
        <v>315</v>
      </c>
      <c r="B5" s="102">
        <v>369765.17</v>
      </c>
      <c r="C5" s="103">
        <v>163136.0</v>
      </c>
      <c r="D5" s="104">
        <v>532901.17</v>
      </c>
      <c r="E5" s="92"/>
      <c r="F5" s="92" t="s">
        <v>315</v>
      </c>
      <c r="G5" s="95">
        <v>330384.75</v>
      </c>
      <c r="H5" s="95">
        <v>171902.0</v>
      </c>
      <c r="I5" s="95">
        <v>502286.75</v>
      </c>
      <c r="J5" s="92"/>
      <c r="K5" s="92"/>
      <c r="L5" s="92"/>
      <c r="M5" s="92"/>
      <c r="N5" s="92"/>
      <c r="O5" s="92"/>
      <c r="P5" s="92"/>
    </row>
    <row r="6">
      <c r="A6" s="98" t="s">
        <v>320</v>
      </c>
      <c r="B6" s="102">
        <v>358217.8</v>
      </c>
      <c r="C6" s="103">
        <v>143044.0</v>
      </c>
      <c r="D6" s="104">
        <v>501261.8</v>
      </c>
      <c r="E6" s="92"/>
      <c r="F6" s="92" t="s">
        <v>320</v>
      </c>
      <c r="G6" s="95">
        <v>309837.17</v>
      </c>
      <c r="H6" s="95">
        <v>172477.0</v>
      </c>
      <c r="I6" s="95">
        <v>482314.17</v>
      </c>
      <c r="J6" s="92"/>
      <c r="K6" s="92"/>
      <c r="L6" s="92"/>
      <c r="M6" s="92"/>
      <c r="N6" s="92"/>
      <c r="O6" s="92"/>
      <c r="P6" s="92"/>
    </row>
    <row r="7">
      <c r="A7" s="98" t="s">
        <v>465</v>
      </c>
      <c r="B7" s="105">
        <v>0.0</v>
      </c>
      <c r="C7" s="92"/>
      <c r="D7" s="104">
        <v>0.0</v>
      </c>
      <c r="E7" s="92"/>
      <c r="F7" s="92" t="s">
        <v>465</v>
      </c>
      <c r="G7" s="95">
        <v>0.0</v>
      </c>
      <c r="H7" s="95">
        <v>0.0</v>
      </c>
      <c r="I7" s="95">
        <v>0.0</v>
      </c>
      <c r="J7" s="92"/>
      <c r="K7" s="92"/>
      <c r="L7" s="92" t="s">
        <v>434</v>
      </c>
      <c r="M7" s="92" t="s">
        <v>435</v>
      </c>
      <c r="N7" s="92" t="s">
        <v>436</v>
      </c>
      <c r="O7" s="92" t="s">
        <v>437</v>
      </c>
      <c r="P7" s="92" t="s">
        <v>438</v>
      </c>
    </row>
    <row r="8">
      <c r="A8" s="98" t="s">
        <v>466</v>
      </c>
      <c r="B8" s="105">
        <v>0.0</v>
      </c>
      <c r="C8" s="103">
        <v>2862.0</v>
      </c>
      <c r="D8" s="104">
        <v>2862.0</v>
      </c>
      <c r="E8" s="92"/>
      <c r="F8" s="92" t="s">
        <v>466</v>
      </c>
      <c r="G8" s="95">
        <v>0.0</v>
      </c>
      <c r="H8" s="95">
        <v>0.0</v>
      </c>
      <c r="I8" s="95">
        <v>0.0</v>
      </c>
      <c r="J8" s="92"/>
      <c r="K8" s="98" t="s">
        <v>311</v>
      </c>
      <c r="L8" s="93">
        <f t="shared" ref="L8:L11" si="2">D109</f>
        <v>432345</v>
      </c>
      <c r="M8" s="93">
        <f>D96</f>
        <v>310932.39</v>
      </c>
      <c r="N8" s="93">
        <f>D83</f>
        <v>415861.46</v>
      </c>
      <c r="O8" s="93">
        <f>D70</f>
        <v>400736.62</v>
      </c>
      <c r="P8" s="93">
        <f>D57</f>
        <v>479821.19</v>
      </c>
    </row>
    <row r="9">
      <c r="A9" s="98" t="s">
        <v>467</v>
      </c>
      <c r="B9" s="105">
        <v>0.0</v>
      </c>
      <c r="C9" s="92"/>
      <c r="D9" s="104">
        <v>0.0</v>
      </c>
      <c r="E9" s="92"/>
      <c r="F9" s="92" t="s">
        <v>467</v>
      </c>
      <c r="G9" s="95">
        <v>0.0</v>
      </c>
      <c r="H9" s="95">
        <v>0.0</v>
      </c>
      <c r="I9" s="95">
        <v>0.0</v>
      </c>
      <c r="J9" s="92"/>
      <c r="K9" s="98" t="s">
        <v>321</v>
      </c>
      <c r="L9" s="93">
        <f t="shared" si="2"/>
        <v>431110</v>
      </c>
      <c r="M9" s="93">
        <f>D99</f>
        <v>309452.38</v>
      </c>
      <c r="N9" s="93">
        <f>D86</f>
        <v>409855.1</v>
      </c>
      <c r="O9" s="93">
        <f>D73</f>
        <v>400957.13</v>
      </c>
      <c r="P9" s="93">
        <f>D60</f>
        <v>479687.06</v>
      </c>
    </row>
    <row r="10">
      <c r="A10" s="98" t="s">
        <v>325</v>
      </c>
      <c r="B10" s="102">
        <v>369765.17</v>
      </c>
      <c r="C10" s="103">
        <v>163279.0</v>
      </c>
      <c r="D10" s="104">
        <v>533044.17</v>
      </c>
      <c r="E10" s="92"/>
      <c r="F10" s="92" t="s">
        <v>325</v>
      </c>
      <c r="G10" s="95">
        <v>330384.75</v>
      </c>
      <c r="H10" s="95">
        <v>171902.0</v>
      </c>
      <c r="I10" s="95">
        <v>502286.75</v>
      </c>
      <c r="J10" s="92"/>
      <c r="K10" s="98" t="s">
        <v>315</v>
      </c>
      <c r="L10" s="93">
        <f t="shared" si="2"/>
        <v>406294</v>
      </c>
      <c r="M10" s="93">
        <f t="shared" ref="M10:M11" si="3">D97</f>
        <v>298882.15</v>
      </c>
      <c r="N10" s="93">
        <f>D84</f>
        <v>408011.27</v>
      </c>
      <c r="O10" s="93">
        <f t="shared" ref="O10:O11" si="4">D71</f>
        <v>400675.6</v>
      </c>
      <c r="P10" s="93">
        <f t="shared" ref="P10:P11" si="5">D58</f>
        <v>478546.25</v>
      </c>
    </row>
    <row r="11">
      <c r="A11" s="98" t="s">
        <v>326</v>
      </c>
      <c r="B11" s="92"/>
      <c r="C11" s="92"/>
      <c r="D11" s="104">
        <v>0.0</v>
      </c>
      <c r="E11" s="92"/>
      <c r="F11" s="92" t="s">
        <v>326</v>
      </c>
      <c r="G11" s="95">
        <v>0.0</v>
      </c>
      <c r="H11" s="95">
        <v>0.0</v>
      </c>
      <c r="I11" s="95">
        <v>0.0</v>
      </c>
      <c r="J11" s="92"/>
      <c r="K11" s="98" t="s">
        <v>320</v>
      </c>
      <c r="L11" s="93">
        <f t="shared" si="2"/>
        <v>376654</v>
      </c>
      <c r="M11" s="93">
        <f t="shared" si="3"/>
        <v>286347.48</v>
      </c>
      <c r="N11" s="93">
        <f>D72</f>
        <v>243915.94</v>
      </c>
      <c r="O11" s="93">
        <f t="shared" si="4"/>
        <v>243915.94</v>
      </c>
      <c r="P11" s="93">
        <f t="shared" si="5"/>
        <v>129680.91</v>
      </c>
    </row>
    <row r="12">
      <c r="A12" s="98" t="s">
        <v>323</v>
      </c>
      <c r="B12" s="102">
        <v>369765.17</v>
      </c>
      <c r="C12" s="105">
        <v>163347.0</v>
      </c>
      <c r="D12" s="104">
        <v>533112.17</v>
      </c>
      <c r="E12" s="92"/>
      <c r="F12" s="92" t="s">
        <v>323</v>
      </c>
      <c r="G12" s="95">
        <v>330384.75</v>
      </c>
      <c r="H12" s="95">
        <v>171902.0</v>
      </c>
      <c r="I12" s="95">
        <v>502286.75</v>
      </c>
      <c r="J12" s="92"/>
      <c r="K12" s="98" t="s">
        <v>325</v>
      </c>
      <c r="L12" s="93">
        <f>D116</f>
        <v>271019</v>
      </c>
      <c r="M12" s="93">
        <f t="shared" ref="M12:M13" si="6">D103</f>
        <v>251627.41</v>
      </c>
      <c r="N12" s="93">
        <f t="shared" ref="N12:N13" si="7">D90</f>
        <v>380388.19</v>
      </c>
      <c r="O12" s="93">
        <f t="shared" ref="O12:O13" si="8">D76</f>
        <v>399006.02</v>
      </c>
      <c r="P12" s="93">
        <f t="shared" ref="P12:P13" si="9">D64</f>
        <v>462359.31</v>
      </c>
    </row>
    <row r="13">
      <c r="A13" s="98" t="s">
        <v>322</v>
      </c>
      <c r="B13" s="105">
        <v>0.0</v>
      </c>
      <c r="C13" s="103">
        <v>63.0</v>
      </c>
      <c r="D13" s="104">
        <v>63.0</v>
      </c>
      <c r="E13" s="92"/>
      <c r="F13" s="92" t="s">
        <v>322</v>
      </c>
      <c r="G13" s="95">
        <v>45424.06</v>
      </c>
      <c r="H13" s="95">
        <v>14940.0</v>
      </c>
      <c r="I13" s="95">
        <v>60364.06</v>
      </c>
      <c r="J13" s="92"/>
      <c r="K13" s="98" t="s">
        <v>323</v>
      </c>
      <c r="L13" s="93">
        <f>D118</f>
        <v>48674</v>
      </c>
      <c r="M13" s="93">
        <f t="shared" si="6"/>
        <v>70101.09</v>
      </c>
      <c r="N13" s="93">
        <f t="shared" si="7"/>
        <v>304412.88</v>
      </c>
      <c r="O13" s="93">
        <f t="shared" si="8"/>
        <v>399747.77</v>
      </c>
      <c r="P13" s="93">
        <f t="shared" si="9"/>
        <v>459370.33</v>
      </c>
    </row>
    <row r="14">
      <c r="A14" s="98" t="s">
        <v>324</v>
      </c>
      <c r="B14" s="105">
        <v>0.0</v>
      </c>
      <c r="C14" s="103">
        <v>63.0</v>
      </c>
      <c r="D14" s="99"/>
      <c r="E14" s="92"/>
      <c r="F14" s="92" t="s">
        <v>324</v>
      </c>
      <c r="G14" s="95">
        <v>45424.06</v>
      </c>
      <c r="H14" s="95">
        <v>14940.0</v>
      </c>
      <c r="I14" s="95">
        <v>60364.06</v>
      </c>
      <c r="J14" s="92"/>
      <c r="K14" s="98" t="s">
        <v>322</v>
      </c>
      <c r="L14" s="95">
        <v>0.0</v>
      </c>
      <c r="M14" s="95">
        <v>0.0</v>
      </c>
      <c r="N14" s="95">
        <v>0.0</v>
      </c>
      <c r="O14" s="95">
        <v>0.0</v>
      </c>
      <c r="P14" s="95">
        <v>0.0</v>
      </c>
    </row>
    <row r="15">
      <c r="A15" s="92"/>
      <c r="B15" s="102">
        <f t="shared" ref="B15:D15" si="10">SUM(B3:B14)</f>
        <v>2207043.65</v>
      </c>
      <c r="C15" s="102">
        <f t="shared" si="10"/>
        <v>962042</v>
      </c>
      <c r="D15" s="104">
        <f t="shared" si="10"/>
        <v>3169022.65</v>
      </c>
      <c r="E15" s="92"/>
      <c r="F15" s="92" t="s">
        <v>319</v>
      </c>
      <c r="G15" s="95">
        <v>0.0</v>
      </c>
      <c r="H15" s="95">
        <v>0.0</v>
      </c>
      <c r="I15" s="95">
        <v>0.0</v>
      </c>
      <c r="J15" s="92"/>
      <c r="K15" s="98" t="s">
        <v>324</v>
      </c>
      <c r="L15" s="95">
        <v>0.0</v>
      </c>
      <c r="M15" s="95">
        <v>0.0</v>
      </c>
      <c r="N15" s="95">
        <v>0.0</v>
      </c>
      <c r="O15" s="95">
        <v>0.0</v>
      </c>
      <c r="P15" s="95">
        <v>0.0</v>
      </c>
    </row>
    <row r="16">
      <c r="A16" s="92"/>
      <c r="B16" s="92"/>
      <c r="C16" s="92"/>
      <c r="D16" s="92"/>
      <c r="E16" s="92"/>
      <c r="F16" s="92"/>
      <c r="G16" s="95">
        <v>2052609.04</v>
      </c>
      <c r="H16" s="95">
        <v>1061867.0</v>
      </c>
      <c r="I16" s="92" t="s">
        <v>472</v>
      </c>
      <c r="J16" s="92"/>
      <c r="K16" s="98" t="s">
        <v>465</v>
      </c>
      <c r="L16" s="93">
        <f t="shared" ref="L16:L18" si="11">D113</f>
        <v>308477</v>
      </c>
      <c r="M16" s="93">
        <f>D100</f>
        <v>215113.82</v>
      </c>
      <c r="N16" s="93">
        <f>D87</f>
        <v>15718.89</v>
      </c>
      <c r="O16" s="95">
        <f>0</f>
        <v>0</v>
      </c>
      <c r="P16" s="93">
        <f>D61</f>
        <v>15497.54</v>
      </c>
    </row>
    <row r="17">
      <c r="A17" s="92" t="s">
        <v>441</v>
      </c>
      <c r="B17" s="92"/>
      <c r="C17" s="92"/>
      <c r="D17" s="92"/>
      <c r="E17" s="92"/>
      <c r="F17" s="92" t="s">
        <v>444</v>
      </c>
      <c r="G17" s="92"/>
      <c r="H17" s="92"/>
      <c r="I17" s="92"/>
      <c r="J17" s="92"/>
      <c r="K17" s="98" t="s">
        <v>466</v>
      </c>
      <c r="L17" s="93">
        <f t="shared" si="11"/>
        <v>376092</v>
      </c>
      <c r="M17" s="93">
        <f>D102</f>
        <v>227152.43</v>
      </c>
      <c r="N17" s="93">
        <f>D89</f>
        <v>122011.87</v>
      </c>
      <c r="O17" s="93">
        <f>D75</f>
        <v>15293.65</v>
      </c>
      <c r="P17" s="93">
        <f>D63</f>
        <v>68036</v>
      </c>
    </row>
    <row r="18">
      <c r="A18" s="106"/>
      <c r="B18" s="98" t="s">
        <v>351</v>
      </c>
      <c r="C18" s="98" t="s">
        <v>104</v>
      </c>
      <c r="D18" s="98" t="s">
        <v>473</v>
      </c>
      <c r="E18" s="92"/>
      <c r="F18" s="101" t="s">
        <v>3</v>
      </c>
      <c r="G18" s="101" t="s">
        <v>351</v>
      </c>
      <c r="H18" s="101" t="s">
        <v>104</v>
      </c>
      <c r="I18" s="101" t="s">
        <v>456</v>
      </c>
      <c r="J18" s="92"/>
      <c r="K18" s="98" t="s">
        <v>467</v>
      </c>
      <c r="L18" s="93">
        <f t="shared" si="11"/>
        <v>253465</v>
      </c>
      <c r="M18" s="93">
        <f>D101</f>
        <v>196727.51</v>
      </c>
      <c r="N18" s="93">
        <f>D88</f>
        <v>87561.46</v>
      </c>
      <c r="O18" s="93">
        <f>D74</f>
        <v>1676.44</v>
      </c>
      <c r="P18" s="93">
        <f>D62</f>
        <v>13659.07</v>
      </c>
    </row>
    <row r="19">
      <c r="A19" s="107" t="s">
        <v>474</v>
      </c>
      <c r="B19" s="108" t="s">
        <v>475</v>
      </c>
      <c r="C19" s="109">
        <v>89601.0</v>
      </c>
      <c r="D19" s="108">
        <v>462737.83</v>
      </c>
      <c r="E19" s="110"/>
      <c r="F19" s="111" t="s">
        <v>311</v>
      </c>
      <c r="G19" s="111" t="s">
        <v>476</v>
      </c>
      <c r="H19" s="111">
        <v>105292.0</v>
      </c>
      <c r="I19" s="111">
        <v>608292.79</v>
      </c>
      <c r="J19" s="110"/>
      <c r="K19" s="98" t="s">
        <v>326</v>
      </c>
      <c r="L19" s="93">
        <f>D117</f>
        <v>16672</v>
      </c>
      <c r="M19" s="93">
        <f>D105</f>
        <v>19980.1</v>
      </c>
      <c r="N19" s="93">
        <f>D92</f>
        <v>81085.93</v>
      </c>
      <c r="O19" s="93">
        <f>D78</f>
        <v>1499.01</v>
      </c>
      <c r="P19" s="93">
        <f>D66</f>
        <v>1415.62</v>
      </c>
    </row>
    <row r="20">
      <c r="A20" s="107" t="s">
        <v>477</v>
      </c>
      <c r="B20" s="108" t="s">
        <v>475</v>
      </c>
      <c r="C20" s="109">
        <v>88761.0</v>
      </c>
      <c r="D20" s="108">
        <v>461897.64</v>
      </c>
      <c r="E20" s="110"/>
      <c r="F20" s="111" t="s">
        <v>321</v>
      </c>
      <c r="G20" s="111" t="s">
        <v>476</v>
      </c>
      <c r="H20" s="111">
        <v>105292.0</v>
      </c>
      <c r="I20" s="111">
        <v>608292.79</v>
      </c>
      <c r="J20" s="110"/>
      <c r="K20" s="92"/>
      <c r="L20" s="92"/>
      <c r="M20" s="92"/>
      <c r="N20" s="92"/>
      <c r="O20" s="92"/>
      <c r="P20" s="92"/>
    </row>
    <row r="21">
      <c r="A21" s="107" t="s">
        <v>26</v>
      </c>
      <c r="B21" s="108" t="s">
        <v>478</v>
      </c>
      <c r="C21" s="109">
        <v>67083.0</v>
      </c>
      <c r="D21" s="108">
        <v>283474.91</v>
      </c>
      <c r="E21" s="110"/>
      <c r="F21" s="111" t="s">
        <v>315</v>
      </c>
      <c r="G21" s="111" t="s">
        <v>476</v>
      </c>
      <c r="H21" s="111">
        <v>105292.0</v>
      </c>
      <c r="I21" s="111">
        <v>608292.79</v>
      </c>
      <c r="J21" s="110"/>
      <c r="K21" s="92"/>
      <c r="L21" s="92"/>
      <c r="M21" s="92"/>
      <c r="N21" s="92"/>
      <c r="O21" s="92"/>
      <c r="P21" s="92"/>
    </row>
    <row r="22">
      <c r="A22" s="107" t="s">
        <v>479</v>
      </c>
      <c r="B22" s="108" t="s">
        <v>475</v>
      </c>
      <c r="C22" s="109">
        <v>89600.0</v>
      </c>
      <c r="D22" s="108">
        <v>462737.56</v>
      </c>
      <c r="E22" s="110"/>
      <c r="F22" s="111" t="s">
        <v>320</v>
      </c>
      <c r="G22" s="111" t="s">
        <v>480</v>
      </c>
      <c r="H22" s="111">
        <v>106214.0</v>
      </c>
      <c r="I22" s="111">
        <v>607951.29</v>
      </c>
      <c r="J22" s="110"/>
      <c r="K22" s="92"/>
      <c r="L22" s="92"/>
      <c r="M22" s="92"/>
      <c r="N22" s="92"/>
      <c r="O22" s="92"/>
      <c r="P22" s="92"/>
    </row>
    <row r="23">
      <c r="A23" s="112" t="s">
        <v>481</v>
      </c>
      <c r="B23" s="108" t="s">
        <v>482</v>
      </c>
      <c r="C23" s="109">
        <v>15444.0</v>
      </c>
      <c r="D23" s="108">
        <v>17256.14</v>
      </c>
      <c r="E23" s="110"/>
      <c r="F23" s="111" t="s">
        <v>465</v>
      </c>
      <c r="G23" s="111">
        <v>0.0</v>
      </c>
      <c r="H23" s="111">
        <v>0.0</v>
      </c>
      <c r="I23" s="111">
        <v>0.0</v>
      </c>
      <c r="J23" s="110"/>
      <c r="K23" s="92"/>
      <c r="L23" s="92"/>
      <c r="M23" s="92"/>
      <c r="N23" s="92"/>
      <c r="O23" s="92"/>
      <c r="P23" s="92"/>
    </row>
    <row r="24">
      <c r="A24" s="112" t="s">
        <v>30</v>
      </c>
      <c r="B24" s="108" t="s">
        <v>475</v>
      </c>
      <c r="C24" s="109">
        <v>76076.0</v>
      </c>
      <c r="D24" s="108">
        <v>449212.64</v>
      </c>
      <c r="E24" s="110"/>
      <c r="F24" s="111" t="s">
        <v>466</v>
      </c>
      <c r="G24" s="111">
        <v>0.0</v>
      </c>
      <c r="H24" s="111">
        <v>0.0</v>
      </c>
      <c r="I24" s="111">
        <v>0.0</v>
      </c>
      <c r="J24" s="110"/>
      <c r="K24" s="92"/>
      <c r="L24" s="92"/>
      <c r="M24" s="92"/>
      <c r="N24" s="92"/>
      <c r="O24" s="92"/>
      <c r="P24" s="92"/>
    </row>
    <row r="25">
      <c r="A25" s="112" t="s">
        <v>35</v>
      </c>
      <c r="B25" s="108" t="s">
        <v>475</v>
      </c>
      <c r="C25" s="109">
        <v>77764.0</v>
      </c>
      <c r="D25" s="108">
        <v>450901.59</v>
      </c>
      <c r="E25" s="110"/>
      <c r="F25" s="111" t="s">
        <v>467</v>
      </c>
      <c r="G25" s="111">
        <v>0.0</v>
      </c>
      <c r="H25" s="111">
        <v>0.0</v>
      </c>
      <c r="I25" s="111">
        <v>0.0</v>
      </c>
      <c r="J25" s="110"/>
      <c r="K25" s="92"/>
      <c r="L25" s="92"/>
      <c r="M25" s="92"/>
      <c r="N25" s="92"/>
      <c r="O25" s="92"/>
      <c r="P25" s="92"/>
    </row>
    <row r="26">
      <c r="A26" s="114" t="s">
        <v>488</v>
      </c>
      <c r="B26" s="111">
        <v>0.0</v>
      </c>
      <c r="C26" s="109">
        <v>9064.0</v>
      </c>
      <c r="D26" s="108">
        <v>9063.93</v>
      </c>
      <c r="E26" s="110"/>
      <c r="F26" s="111" t="s">
        <v>325</v>
      </c>
      <c r="G26" s="111" t="s">
        <v>476</v>
      </c>
      <c r="H26" s="111">
        <v>105292.0</v>
      </c>
      <c r="I26" s="111">
        <v>608292.79</v>
      </c>
      <c r="J26" s="110"/>
      <c r="K26" s="92"/>
      <c r="L26" s="92"/>
      <c r="M26" s="92"/>
      <c r="N26" s="92"/>
      <c r="O26" s="92"/>
      <c r="P26" s="92"/>
    </row>
    <row r="27">
      <c r="A27" s="114" t="s">
        <v>489</v>
      </c>
      <c r="B27" s="111">
        <v>0.0</v>
      </c>
      <c r="C27" s="109">
        <v>9062.0</v>
      </c>
      <c r="D27" s="108">
        <v>9062.35</v>
      </c>
      <c r="E27" s="110"/>
      <c r="F27" s="111" t="s">
        <v>326</v>
      </c>
      <c r="G27" s="111">
        <v>0.0</v>
      </c>
      <c r="H27" s="111">
        <v>0.0</v>
      </c>
      <c r="I27" s="111">
        <v>0.0</v>
      </c>
      <c r="J27" s="110"/>
      <c r="K27" s="92"/>
      <c r="L27" s="92"/>
      <c r="M27" s="92"/>
      <c r="N27" s="92"/>
      <c r="O27" s="92"/>
      <c r="P27" s="92"/>
    </row>
    <row r="28">
      <c r="A28" s="114" t="s">
        <v>490</v>
      </c>
      <c r="B28" s="111">
        <v>0.0</v>
      </c>
      <c r="C28" s="109">
        <v>2100.0</v>
      </c>
      <c r="D28" s="108">
        <v>2099.74</v>
      </c>
      <c r="E28" s="110"/>
      <c r="F28" s="111" t="s">
        <v>323</v>
      </c>
      <c r="G28" s="111" t="s">
        <v>476</v>
      </c>
      <c r="H28" s="111">
        <v>105292.0</v>
      </c>
      <c r="I28" s="111">
        <v>608292.79</v>
      </c>
      <c r="J28" s="110"/>
      <c r="K28" s="92"/>
      <c r="L28" s="92"/>
      <c r="M28" s="92"/>
      <c r="N28" s="92"/>
      <c r="O28" s="92"/>
      <c r="P28" s="92"/>
    </row>
    <row r="29">
      <c r="A29" s="92"/>
      <c r="B29" s="109">
        <v>2083889.0</v>
      </c>
      <c r="C29" s="109">
        <v>524555.0</v>
      </c>
      <c r="D29" s="108">
        <f>SUM(D19:D28)</f>
        <v>2608444.33</v>
      </c>
      <c r="E29" s="115"/>
      <c r="F29" s="111" t="s">
        <v>322</v>
      </c>
      <c r="G29" s="111" t="s">
        <v>491</v>
      </c>
      <c r="H29" s="111">
        <v>46308.0</v>
      </c>
      <c r="I29" s="111">
        <v>367678.21</v>
      </c>
      <c r="J29" s="115"/>
      <c r="K29" s="92"/>
      <c r="L29" s="92"/>
      <c r="M29" s="92"/>
      <c r="N29" s="92"/>
      <c r="O29" s="92"/>
      <c r="P29" s="92"/>
    </row>
    <row r="30">
      <c r="A30" s="92"/>
      <c r="B30" s="92"/>
      <c r="C30" s="92"/>
      <c r="D30" s="99"/>
      <c r="E30" s="92"/>
      <c r="F30" s="92" t="s">
        <v>324</v>
      </c>
      <c r="G30" s="92" t="s">
        <v>491</v>
      </c>
      <c r="H30" s="95">
        <v>46308.0</v>
      </c>
      <c r="I30" s="111">
        <v>367678.21</v>
      </c>
      <c r="J30" s="92"/>
      <c r="K30" s="92"/>
      <c r="L30" s="92"/>
      <c r="M30" s="92"/>
      <c r="N30" s="92"/>
      <c r="O30" s="92"/>
      <c r="P30" s="92"/>
    </row>
    <row r="31">
      <c r="A31" s="92" t="s">
        <v>440</v>
      </c>
      <c r="B31" s="92"/>
      <c r="C31" s="92"/>
      <c r="D31" s="99"/>
      <c r="E31" s="92"/>
      <c r="F31" s="92" t="s">
        <v>319</v>
      </c>
      <c r="G31" s="95">
        <v>0.0</v>
      </c>
      <c r="H31" s="95">
        <v>0.0</v>
      </c>
      <c r="I31" s="95">
        <v>0.0</v>
      </c>
      <c r="J31" s="92"/>
      <c r="K31" s="92"/>
      <c r="L31" s="92"/>
      <c r="M31" s="92"/>
      <c r="N31" s="92"/>
      <c r="O31" s="92"/>
      <c r="P31" s="92"/>
    </row>
    <row r="32">
      <c r="A32" s="106"/>
      <c r="B32" s="98" t="s">
        <v>351</v>
      </c>
      <c r="C32" s="98" t="s">
        <v>104</v>
      </c>
      <c r="D32" s="99"/>
      <c r="E32" s="92"/>
      <c r="F32" s="92"/>
      <c r="G32" s="95">
        <v>3659481.66</v>
      </c>
      <c r="H32" s="95">
        <v>725290.0</v>
      </c>
      <c r="I32" s="92" t="s">
        <v>492</v>
      </c>
      <c r="J32" s="92"/>
      <c r="K32" s="92"/>
      <c r="L32" s="92"/>
      <c r="M32" s="92"/>
      <c r="N32" s="92"/>
      <c r="O32" s="92"/>
      <c r="P32" s="92"/>
    </row>
    <row r="33">
      <c r="A33" s="107" t="s">
        <v>493</v>
      </c>
      <c r="B33" s="108">
        <v>499960.09</v>
      </c>
      <c r="C33" s="109">
        <v>98994.0</v>
      </c>
      <c r="D33" s="108">
        <v>598954.34</v>
      </c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</row>
    <row r="34">
      <c r="A34" s="107" t="s">
        <v>477</v>
      </c>
      <c r="B34" s="108">
        <v>499960.09</v>
      </c>
      <c r="C34" s="109">
        <v>99021.0</v>
      </c>
      <c r="D34" s="108">
        <v>598981.27</v>
      </c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</row>
    <row r="35">
      <c r="A35" s="107" t="s">
        <v>479</v>
      </c>
      <c r="B35" s="108">
        <v>499960.09</v>
      </c>
      <c r="C35" s="109">
        <v>99002.0</v>
      </c>
      <c r="D35" s="108">
        <v>598962.25</v>
      </c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</row>
    <row r="36">
      <c r="A36" s="107" t="s">
        <v>26</v>
      </c>
      <c r="B36" s="108">
        <v>313796.14</v>
      </c>
      <c r="C36" s="109">
        <v>83497.0</v>
      </c>
      <c r="D36" s="108">
        <v>397293.59</v>
      </c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</row>
    <row r="37">
      <c r="A37" s="112" t="s">
        <v>30</v>
      </c>
      <c r="B37" s="108">
        <v>499960.09</v>
      </c>
      <c r="C37" s="109">
        <v>99385.0</v>
      </c>
      <c r="D37" s="108">
        <v>599344.76</v>
      </c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</row>
    <row r="38">
      <c r="A38" s="112" t="s">
        <v>35</v>
      </c>
      <c r="B38" s="108">
        <v>499960.09</v>
      </c>
      <c r="C38" s="109">
        <v>99115.0</v>
      </c>
      <c r="D38" s="108">
        <v>599075.36</v>
      </c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</row>
    <row r="39">
      <c r="A39" s="92"/>
      <c r="B39" s="108">
        <f t="shared" ref="B39:D39" si="12">SUM(B33:B38)</f>
        <v>2813596.59</v>
      </c>
      <c r="C39" s="108">
        <f t="shared" si="12"/>
        <v>579014</v>
      </c>
      <c r="D39" s="108">
        <f t="shared" si="12"/>
        <v>3392611.57</v>
      </c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</row>
    <row r="40">
      <c r="A40" s="92"/>
      <c r="B40" s="92"/>
      <c r="C40" s="92"/>
      <c r="D40" s="99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</row>
    <row r="41">
      <c r="A41" s="92" t="s">
        <v>439</v>
      </c>
      <c r="B41" s="92"/>
      <c r="C41" s="92"/>
      <c r="D41" s="99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</row>
    <row r="42">
      <c r="A42" s="92" t="s">
        <v>493</v>
      </c>
      <c r="B42" s="93">
        <v>325983.25</v>
      </c>
      <c r="C42" s="95">
        <v>130334.0</v>
      </c>
      <c r="D42" s="93">
        <v>456317.23</v>
      </c>
      <c r="E42" s="100"/>
      <c r="F42" s="100"/>
      <c r="G42" s="100"/>
      <c r="H42" s="100"/>
      <c r="I42" s="100"/>
      <c r="J42" s="96">
        <v>0.1793</v>
      </c>
      <c r="K42" s="92"/>
      <c r="L42" s="92"/>
      <c r="M42" s="92"/>
      <c r="N42" s="92"/>
      <c r="O42" s="92"/>
      <c r="P42" s="92"/>
    </row>
    <row r="43">
      <c r="A43" s="92" t="s">
        <v>477</v>
      </c>
      <c r="B43" s="93">
        <v>325854.68</v>
      </c>
      <c r="C43" s="95">
        <v>129797.0</v>
      </c>
      <c r="D43" s="93">
        <v>455651.71</v>
      </c>
      <c r="E43" s="100"/>
      <c r="F43" s="100"/>
      <c r="G43" s="100"/>
      <c r="H43" s="100"/>
      <c r="I43" s="100"/>
      <c r="J43" s="96">
        <v>0.179</v>
      </c>
      <c r="K43" s="92"/>
      <c r="L43" s="92"/>
      <c r="M43" s="92"/>
      <c r="N43" s="92"/>
      <c r="O43" s="92"/>
      <c r="P43" s="92"/>
    </row>
    <row r="44">
      <c r="A44" s="92" t="s">
        <v>26</v>
      </c>
      <c r="B44" s="93">
        <v>172146.27</v>
      </c>
      <c r="C44" s="95">
        <v>79291.0</v>
      </c>
      <c r="D44" s="93">
        <v>251437.15</v>
      </c>
      <c r="E44" s="100"/>
      <c r="F44" s="100"/>
      <c r="G44" s="100"/>
      <c r="H44" s="100"/>
      <c r="I44" s="100"/>
      <c r="J44" s="96">
        <v>0.0988</v>
      </c>
      <c r="K44" s="92"/>
      <c r="L44" s="92"/>
      <c r="M44" s="92"/>
      <c r="N44" s="92"/>
      <c r="O44" s="92"/>
      <c r="P44" s="92"/>
    </row>
    <row r="45">
      <c r="A45" s="92" t="s">
        <v>479</v>
      </c>
      <c r="B45" s="93">
        <v>325983.25</v>
      </c>
      <c r="C45" s="95">
        <v>130139.0</v>
      </c>
      <c r="D45" s="93">
        <v>456121.78</v>
      </c>
      <c r="E45" s="100"/>
      <c r="F45" s="100"/>
      <c r="G45" s="100"/>
      <c r="H45" s="100"/>
      <c r="I45" s="100"/>
      <c r="J45" s="96">
        <v>0.1792</v>
      </c>
      <c r="K45" s="92"/>
      <c r="L45" s="92"/>
      <c r="M45" s="92"/>
      <c r="N45" s="92"/>
      <c r="O45" s="92"/>
      <c r="P45" s="92"/>
    </row>
    <row r="46">
      <c r="A46" s="92" t="s">
        <v>505</v>
      </c>
      <c r="B46" s="95">
        <v>335.73</v>
      </c>
      <c r="C46" s="95">
        <v>4258.0</v>
      </c>
      <c r="D46" s="93">
        <v>4593.44</v>
      </c>
      <c r="E46" s="100"/>
      <c r="F46" s="100"/>
      <c r="G46" s="100"/>
      <c r="H46" s="100"/>
      <c r="I46" s="100"/>
      <c r="J46" s="96">
        <v>0.0018</v>
      </c>
      <c r="K46" s="92"/>
      <c r="L46" s="92"/>
      <c r="M46" s="92"/>
      <c r="N46" s="92"/>
      <c r="O46" s="92"/>
      <c r="P46" s="92"/>
    </row>
    <row r="47">
      <c r="A47" s="92" t="s">
        <v>506</v>
      </c>
      <c r="B47" s="93">
        <v>1285.69</v>
      </c>
      <c r="C47" s="93">
        <v>5371.89</v>
      </c>
      <c r="D47" s="93">
        <v>6657.58</v>
      </c>
      <c r="E47" s="100"/>
      <c r="F47" s="100"/>
      <c r="G47" s="100"/>
      <c r="H47" s="100"/>
      <c r="I47" s="100"/>
      <c r="J47" s="96">
        <v>0.0026</v>
      </c>
      <c r="K47" s="92"/>
      <c r="L47" s="92"/>
      <c r="M47" s="92"/>
      <c r="N47" s="92"/>
      <c r="O47" s="92"/>
      <c r="P47" s="92"/>
    </row>
    <row r="48">
      <c r="A48" s="92" t="s">
        <v>481</v>
      </c>
      <c r="B48" s="93">
        <v>4549.02</v>
      </c>
      <c r="C48" s="95">
        <v>6184.0</v>
      </c>
      <c r="D48" s="93">
        <v>10733.52</v>
      </c>
      <c r="E48" s="100"/>
      <c r="F48" s="100"/>
      <c r="G48" s="100"/>
      <c r="H48" s="100"/>
      <c r="I48" s="100"/>
      <c r="J48" s="96">
        <v>0.0042</v>
      </c>
      <c r="K48" s="92"/>
      <c r="L48" s="92"/>
      <c r="M48" s="92"/>
      <c r="N48" s="92"/>
      <c r="O48" s="92"/>
      <c r="P48" s="92"/>
    </row>
    <row r="49">
      <c r="A49" s="92" t="s">
        <v>325</v>
      </c>
      <c r="B49" s="93">
        <v>325404.69</v>
      </c>
      <c r="C49" s="95">
        <v>127922.0</v>
      </c>
      <c r="D49" s="93">
        <v>453326.32</v>
      </c>
      <c r="E49" s="100"/>
      <c r="F49" s="100"/>
      <c r="G49" s="100"/>
      <c r="H49" s="100"/>
      <c r="I49" s="100"/>
      <c r="J49" s="96">
        <v>0.1781</v>
      </c>
      <c r="K49" s="92"/>
      <c r="L49" s="92"/>
      <c r="M49" s="92"/>
      <c r="N49" s="92"/>
      <c r="O49" s="92"/>
      <c r="P49" s="92"/>
    </row>
    <row r="50">
      <c r="A50" s="92" t="s">
        <v>323</v>
      </c>
      <c r="B50" s="93">
        <v>324119.0</v>
      </c>
      <c r="C50" s="95">
        <v>122549.0</v>
      </c>
      <c r="D50" s="93">
        <v>446668.35</v>
      </c>
      <c r="E50" s="100"/>
      <c r="F50" s="100"/>
      <c r="G50" s="100"/>
      <c r="H50" s="100"/>
      <c r="I50" s="100"/>
      <c r="J50" s="96">
        <v>0.1755</v>
      </c>
      <c r="K50" s="92"/>
      <c r="L50" s="92"/>
      <c r="M50" s="92"/>
      <c r="N50" s="92"/>
      <c r="O50" s="92"/>
      <c r="P50" s="92"/>
    </row>
    <row r="51">
      <c r="A51" s="92" t="s">
        <v>326</v>
      </c>
      <c r="B51" s="93">
        <v>1373.1</v>
      </c>
      <c r="C51" s="95">
        <v>2655.0</v>
      </c>
      <c r="D51" s="93">
        <v>4027.86</v>
      </c>
      <c r="E51" s="100"/>
      <c r="F51" s="100"/>
      <c r="G51" s="100"/>
      <c r="H51" s="100"/>
      <c r="I51" s="100"/>
      <c r="J51" s="96">
        <v>0.0016</v>
      </c>
      <c r="K51" s="92"/>
      <c r="L51" s="92"/>
      <c r="M51" s="92"/>
      <c r="N51" s="92"/>
      <c r="O51" s="92"/>
      <c r="P51" s="92"/>
    </row>
    <row r="52">
      <c r="A52" s="92"/>
      <c r="B52" s="93">
        <f t="shared" ref="B52:D52" si="13">SUM(B42:B51)</f>
        <v>1807034.68</v>
      </c>
      <c r="C52" s="95">
        <f t="shared" si="13"/>
        <v>738500.89</v>
      </c>
      <c r="D52" s="93">
        <f t="shared" si="13"/>
        <v>2545534.94</v>
      </c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</row>
    <row r="53">
      <c r="A53" s="92"/>
      <c r="B53" s="92"/>
      <c r="C53" s="92"/>
      <c r="D53" s="99"/>
      <c r="E53" s="100"/>
      <c r="F53" s="100"/>
      <c r="G53" s="100"/>
      <c r="H53" s="100"/>
      <c r="I53" s="100"/>
      <c r="J53" s="100"/>
      <c r="K53" s="92"/>
      <c r="L53" s="92"/>
      <c r="M53" s="92"/>
      <c r="N53" s="92"/>
      <c r="O53" s="92"/>
      <c r="P53" s="92"/>
    </row>
    <row r="54">
      <c r="A54" s="92"/>
      <c r="B54" s="92"/>
      <c r="C54" s="92"/>
      <c r="D54" s="99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</row>
    <row r="55">
      <c r="A55" s="92" t="s">
        <v>438</v>
      </c>
      <c r="B55" s="92"/>
      <c r="C55" s="92"/>
      <c r="D55" s="99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</row>
    <row r="56">
      <c r="A56" s="124" t="s">
        <v>3</v>
      </c>
      <c r="B56" s="125" t="s">
        <v>351</v>
      </c>
      <c r="C56" s="125" t="s">
        <v>507</v>
      </c>
      <c r="D56" s="126" t="s">
        <v>456</v>
      </c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</row>
    <row r="57">
      <c r="A57" s="127" t="s">
        <v>493</v>
      </c>
      <c r="B57" s="108">
        <v>350331.83</v>
      </c>
      <c r="C57" s="111">
        <v>129489.0</v>
      </c>
      <c r="D57" s="108">
        <v>479821.19</v>
      </c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</row>
    <row r="58">
      <c r="A58" s="127" t="s">
        <v>477</v>
      </c>
      <c r="B58" s="108">
        <v>350318.86</v>
      </c>
      <c r="C58" s="111">
        <v>128227.0</v>
      </c>
      <c r="D58" s="108">
        <v>478546.25</v>
      </c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</row>
    <row r="59">
      <c r="A59" s="127" t="s">
        <v>26</v>
      </c>
      <c r="B59" s="108">
        <v>86419.75</v>
      </c>
      <c r="C59" s="111">
        <v>43261.0</v>
      </c>
      <c r="D59" s="108">
        <v>129680.91</v>
      </c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</row>
    <row r="60">
      <c r="A60" s="127" t="s">
        <v>479</v>
      </c>
      <c r="B60" s="108">
        <v>350326.26</v>
      </c>
      <c r="C60" s="111">
        <v>129361.0</v>
      </c>
      <c r="D60" s="108">
        <v>479687.06</v>
      </c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</row>
    <row r="61">
      <c r="A61" s="128" t="s">
        <v>505</v>
      </c>
      <c r="B61" s="111">
        <v>92.61</v>
      </c>
      <c r="C61" s="111">
        <v>15405.0</v>
      </c>
      <c r="D61" s="108">
        <v>15497.54</v>
      </c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</row>
    <row r="62">
      <c r="A62" s="128" t="s">
        <v>506</v>
      </c>
      <c r="B62" s="111">
        <v>129.84</v>
      </c>
      <c r="C62" s="108">
        <v>13529.23</v>
      </c>
      <c r="D62" s="108">
        <v>13659.07</v>
      </c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</row>
    <row r="63">
      <c r="A63" s="129" t="s">
        <v>481</v>
      </c>
      <c r="B63" s="108">
        <v>40281.68</v>
      </c>
      <c r="C63" s="111">
        <v>27754.0</v>
      </c>
      <c r="D63" s="108">
        <v>68036.0</v>
      </c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>
      <c r="A64" s="127" t="s">
        <v>325</v>
      </c>
      <c r="B64" s="108">
        <v>350273.42</v>
      </c>
      <c r="C64" s="111">
        <v>112086.0</v>
      </c>
      <c r="D64" s="108">
        <v>462359.31</v>
      </c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>
      <c r="A65" s="127" t="s">
        <v>323</v>
      </c>
      <c r="B65" s="108">
        <v>350143.58</v>
      </c>
      <c r="C65" s="111">
        <v>109227.0</v>
      </c>
      <c r="D65" s="108">
        <v>459370.33</v>
      </c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  <row r="66">
      <c r="A66" s="127" t="s">
        <v>326</v>
      </c>
      <c r="B66" s="111">
        <v>0.0</v>
      </c>
      <c r="C66" s="111">
        <v>1416.0</v>
      </c>
      <c r="D66" s="108">
        <v>1415.62</v>
      </c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</row>
    <row r="67">
      <c r="A67" s="130"/>
      <c r="B67" s="131">
        <f t="shared" ref="B67:D67" si="14">SUM(B57:B66)</f>
        <v>1878317.83</v>
      </c>
      <c r="C67" s="131">
        <f t="shared" si="14"/>
        <v>709755.23</v>
      </c>
      <c r="D67" s="131">
        <f t="shared" si="14"/>
        <v>2588073.28</v>
      </c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</row>
    <row r="68">
      <c r="A68" s="92"/>
      <c r="B68" s="92"/>
      <c r="C68" s="92"/>
      <c r="D68" s="99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</row>
    <row r="69">
      <c r="A69" s="92" t="s">
        <v>437</v>
      </c>
      <c r="B69" s="92"/>
      <c r="C69" s="92"/>
      <c r="D69" s="99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</row>
    <row r="70">
      <c r="A70" s="92" t="s">
        <v>493</v>
      </c>
      <c r="B70" s="93">
        <v>320699.98</v>
      </c>
      <c r="C70" s="95">
        <v>80037.0</v>
      </c>
      <c r="D70" s="93">
        <v>400736.62</v>
      </c>
      <c r="E70" s="100"/>
      <c r="F70" s="100"/>
      <c r="G70" s="100"/>
      <c r="H70" s="100"/>
      <c r="I70" s="100"/>
      <c r="J70" s="100"/>
      <c r="K70" s="92"/>
      <c r="L70" s="92"/>
      <c r="M70" s="92"/>
      <c r="N70" s="92"/>
      <c r="O70" s="92"/>
      <c r="P70" s="92"/>
    </row>
    <row r="71">
      <c r="A71" s="92" t="s">
        <v>477</v>
      </c>
      <c r="B71" s="93">
        <v>320657.8</v>
      </c>
      <c r="C71" s="95">
        <v>80018.0</v>
      </c>
      <c r="D71" s="93">
        <v>400675.6</v>
      </c>
      <c r="E71" s="100"/>
      <c r="F71" s="100"/>
      <c r="G71" s="100"/>
      <c r="H71" s="100"/>
      <c r="I71" s="100"/>
      <c r="J71" s="100"/>
      <c r="K71" s="92"/>
      <c r="L71" s="92"/>
      <c r="M71" s="92"/>
      <c r="N71" s="92"/>
      <c r="O71" s="92"/>
      <c r="P71" s="92"/>
    </row>
    <row r="72">
      <c r="A72" s="92" t="s">
        <v>26</v>
      </c>
      <c r="B72" s="93">
        <v>209173.29</v>
      </c>
      <c r="C72" s="95">
        <v>34743.0</v>
      </c>
      <c r="D72" s="93">
        <v>243915.94</v>
      </c>
      <c r="E72" s="100"/>
      <c r="F72" s="100"/>
      <c r="G72" s="100"/>
      <c r="H72" s="100"/>
      <c r="I72" s="100"/>
      <c r="J72" s="100"/>
      <c r="K72" s="92"/>
      <c r="L72" s="92"/>
      <c r="M72" s="92"/>
      <c r="N72" s="92"/>
      <c r="O72" s="92"/>
      <c r="P72" s="92"/>
    </row>
    <row r="73">
      <c r="A73" s="92" t="s">
        <v>479</v>
      </c>
      <c r="B73" s="93">
        <v>320657.8</v>
      </c>
      <c r="C73" s="95">
        <v>80299.0</v>
      </c>
      <c r="D73" s="93">
        <v>400957.13</v>
      </c>
      <c r="E73" s="100"/>
      <c r="F73" s="100"/>
      <c r="G73" s="100"/>
      <c r="H73" s="100"/>
      <c r="I73" s="100"/>
      <c r="J73" s="100"/>
      <c r="K73" s="92"/>
      <c r="L73" s="92"/>
      <c r="M73" s="92"/>
      <c r="N73" s="92"/>
      <c r="O73" s="92"/>
      <c r="P73" s="92"/>
    </row>
    <row r="74">
      <c r="A74" s="92" t="s">
        <v>506</v>
      </c>
      <c r="B74" s="95">
        <v>421.8</v>
      </c>
      <c r="C74" s="93">
        <v>1254.64</v>
      </c>
      <c r="D74" s="93">
        <v>1676.44</v>
      </c>
      <c r="E74" s="100"/>
      <c r="F74" s="100"/>
      <c r="G74" s="100"/>
      <c r="H74" s="100"/>
      <c r="I74" s="100"/>
      <c r="J74" s="100"/>
      <c r="K74" s="92"/>
      <c r="L74" s="92"/>
      <c r="M74" s="92"/>
      <c r="N74" s="92"/>
      <c r="O74" s="92"/>
      <c r="P74" s="92"/>
    </row>
    <row r="75">
      <c r="A75" s="92" t="s">
        <v>481</v>
      </c>
      <c r="B75" s="93">
        <v>5210.26</v>
      </c>
      <c r="C75" s="95">
        <v>10083.0</v>
      </c>
      <c r="D75" s="93">
        <v>15293.65</v>
      </c>
      <c r="E75" s="100"/>
      <c r="F75" s="100"/>
      <c r="G75" s="100"/>
      <c r="H75" s="100"/>
      <c r="I75" s="100"/>
      <c r="J75" s="100"/>
      <c r="K75" s="92"/>
      <c r="L75" s="92"/>
      <c r="M75" s="92"/>
      <c r="N75" s="92"/>
      <c r="O75" s="92"/>
      <c r="P75" s="92"/>
    </row>
    <row r="76">
      <c r="A76" s="92" t="s">
        <v>325</v>
      </c>
      <c r="B76" s="93">
        <v>320510.17</v>
      </c>
      <c r="C76" s="95">
        <v>78496.0</v>
      </c>
      <c r="D76" s="93">
        <v>399006.02</v>
      </c>
      <c r="E76" s="100"/>
      <c r="F76" s="100"/>
      <c r="G76" s="100"/>
      <c r="H76" s="100"/>
      <c r="I76" s="100"/>
      <c r="J76" s="100"/>
      <c r="K76" s="92"/>
      <c r="L76" s="92"/>
      <c r="M76" s="92"/>
      <c r="N76" s="92"/>
      <c r="O76" s="92"/>
      <c r="P76" s="92"/>
    </row>
    <row r="77">
      <c r="A77" s="92" t="s">
        <v>323</v>
      </c>
      <c r="B77" s="93">
        <v>320088.37</v>
      </c>
      <c r="C77" s="95">
        <v>79659.0</v>
      </c>
      <c r="D77" s="93">
        <v>399747.77</v>
      </c>
      <c r="E77" s="100"/>
      <c r="F77" s="100"/>
      <c r="G77" s="100"/>
      <c r="H77" s="100"/>
      <c r="I77" s="100"/>
      <c r="J77" s="100"/>
      <c r="K77" s="92"/>
      <c r="L77" s="92"/>
      <c r="M77" s="92"/>
      <c r="N77" s="92"/>
      <c r="O77" s="92"/>
      <c r="P77" s="92"/>
    </row>
    <row r="78">
      <c r="A78" s="92" t="s">
        <v>326</v>
      </c>
      <c r="B78" s="95">
        <v>569.43</v>
      </c>
      <c r="C78" s="95">
        <v>930.0</v>
      </c>
      <c r="D78" s="93">
        <v>1499.01</v>
      </c>
      <c r="E78" s="100"/>
      <c r="F78" s="100"/>
      <c r="G78" s="100"/>
      <c r="H78" s="100"/>
      <c r="I78" s="100"/>
      <c r="J78" s="100"/>
      <c r="K78" s="92"/>
      <c r="L78" s="92"/>
      <c r="M78" s="92"/>
      <c r="N78" s="92"/>
      <c r="O78" s="92"/>
      <c r="P78" s="92"/>
    </row>
    <row r="79">
      <c r="A79" s="92"/>
      <c r="B79" s="93">
        <f t="shared" ref="B79:D79" si="15">SUM(B70:B78)</f>
        <v>1817988.9</v>
      </c>
      <c r="C79" s="95">
        <f t="shared" si="15"/>
        <v>445519.64</v>
      </c>
      <c r="D79" s="93">
        <f t="shared" si="15"/>
        <v>2263508.18</v>
      </c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</row>
    <row r="80">
      <c r="A80" s="92"/>
      <c r="B80" s="92"/>
      <c r="C80" s="92"/>
      <c r="D80" s="99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</row>
    <row r="81">
      <c r="A81" s="92" t="s">
        <v>436</v>
      </c>
      <c r="B81" s="92"/>
      <c r="C81" s="92"/>
      <c r="D81" s="99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</row>
    <row r="82">
      <c r="A82" s="92" t="s">
        <v>3</v>
      </c>
      <c r="B82" s="92" t="s">
        <v>351</v>
      </c>
      <c r="C82" s="92" t="s">
        <v>507</v>
      </c>
      <c r="D82" s="99" t="s">
        <v>456</v>
      </c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</row>
    <row r="83">
      <c r="A83" s="92" t="s">
        <v>493</v>
      </c>
      <c r="B83" s="93">
        <v>261997.33</v>
      </c>
      <c r="C83" s="95">
        <v>153864.0</v>
      </c>
      <c r="D83" s="93">
        <v>415861.46</v>
      </c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</row>
    <row r="84">
      <c r="A84" s="92" t="s">
        <v>477</v>
      </c>
      <c r="B84" s="93">
        <v>256149.83</v>
      </c>
      <c r="C84" s="95">
        <v>151861.0</v>
      </c>
      <c r="D84" s="93">
        <v>408011.27</v>
      </c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</row>
    <row r="85">
      <c r="A85" s="92" t="s">
        <v>26</v>
      </c>
      <c r="B85" s="93">
        <v>250302.34</v>
      </c>
      <c r="C85" s="95">
        <v>149849.0</v>
      </c>
      <c r="D85" s="93">
        <v>400151.07</v>
      </c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</row>
    <row r="86">
      <c r="A86" s="92" t="s">
        <v>479</v>
      </c>
      <c r="B86" s="93">
        <v>256899.21</v>
      </c>
      <c r="C86" s="95">
        <v>152956.0</v>
      </c>
      <c r="D86" s="93">
        <v>409855.1</v>
      </c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</row>
    <row r="87">
      <c r="A87" s="92" t="s">
        <v>34</v>
      </c>
      <c r="B87" s="93">
        <v>9367.26</v>
      </c>
      <c r="C87" s="95">
        <v>6352.0</v>
      </c>
      <c r="D87" s="93">
        <v>15718.89</v>
      </c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</row>
    <row r="88">
      <c r="A88" s="92" t="s">
        <v>506</v>
      </c>
      <c r="B88" s="93">
        <v>58475.01</v>
      </c>
      <c r="C88" s="93">
        <v>29086.45</v>
      </c>
      <c r="D88" s="93">
        <v>87561.46</v>
      </c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</row>
    <row r="89">
      <c r="A89" s="92" t="s">
        <v>481</v>
      </c>
      <c r="B89" s="93">
        <v>93477.86</v>
      </c>
      <c r="C89" s="95">
        <v>28534.0</v>
      </c>
      <c r="D89" s="93">
        <v>122011.87</v>
      </c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</row>
    <row r="90">
      <c r="A90" s="92" t="s">
        <v>325</v>
      </c>
      <c r="B90" s="93">
        <v>235683.58</v>
      </c>
      <c r="C90" s="95">
        <v>144705.0</v>
      </c>
      <c r="D90" s="93">
        <v>380388.19</v>
      </c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</row>
    <row r="91">
      <c r="A91" s="92" t="s">
        <v>323</v>
      </c>
      <c r="B91" s="93">
        <v>177208.57</v>
      </c>
      <c r="C91" s="95">
        <v>127204.0</v>
      </c>
      <c r="D91" s="93">
        <v>304412.88</v>
      </c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</row>
    <row r="92">
      <c r="A92" s="92" t="s">
        <v>326</v>
      </c>
      <c r="B92" s="93">
        <v>68824.63</v>
      </c>
      <c r="C92" s="95">
        <v>12261.0</v>
      </c>
      <c r="D92" s="93">
        <v>81085.93</v>
      </c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</row>
    <row r="93">
      <c r="A93" s="99"/>
      <c r="B93" s="93">
        <f t="shared" ref="B93:D93" si="16">SUM(B83:B92)</f>
        <v>1668385.62</v>
      </c>
      <c r="C93" s="93">
        <f t="shared" si="16"/>
        <v>956672.45</v>
      </c>
      <c r="D93" s="93">
        <f t="shared" si="16"/>
        <v>2625058.12</v>
      </c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</row>
    <row r="94">
      <c r="A94" s="92"/>
      <c r="B94" s="92"/>
      <c r="C94" s="92"/>
      <c r="D94" s="99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</row>
    <row r="95">
      <c r="A95" s="92" t="s">
        <v>435</v>
      </c>
      <c r="B95" s="92"/>
      <c r="C95" s="92"/>
      <c r="D95" s="99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</row>
    <row r="96">
      <c r="A96" s="132" t="s">
        <v>493</v>
      </c>
      <c r="B96" s="108">
        <v>250393.97</v>
      </c>
      <c r="C96" s="111">
        <v>60538.41644</v>
      </c>
      <c r="D96" s="108">
        <v>310932.39</v>
      </c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</row>
    <row r="97">
      <c r="A97" s="127" t="s">
        <v>477</v>
      </c>
      <c r="B97" s="108">
        <v>237747.14</v>
      </c>
      <c r="C97" s="111">
        <v>61135.00898</v>
      </c>
      <c r="D97" s="108">
        <v>298882.15</v>
      </c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</row>
    <row r="98">
      <c r="A98" s="127" t="s">
        <v>26</v>
      </c>
      <c r="B98" s="108">
        <v>224485.42</v>
      </c>
      <c r="C98" s="111">
        <v>61862.06365</v>
      </c>
      <c r="D98" s="108">
        <v>286347.48</v>
      </c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</row>
    <row r="99">
      <c r="A99" s="127" t="s">
        <v>479</v>
      </c>
      <c r="B99" s="108">
        <v>249341.39</v>
      </c>
      <c r="C99" s="111">
        <v>60110.98723</v>
      </c>
      <c r="D99" s="108">
        <v>309452.38</v>
      </c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</row>
    <row r="100">
      <c r="A100" s="127" t="s">
        <v>34</v>
      </c>
      <c r="B100" s="108">
        <v>221853.98</v>
      </c>
      <c r="C100" s="111">
        <v>-6740.158051</v>
      </c>
      <c r="D100" s="108">
        <v>215113.82</v>
      </c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</row>
    <row r="101">
      <c r="A101" s="127" t="s">
        <v>506</v>
      </c>
      <c r="B101" s="108">
        <v>195499.77</v>
      </c>
      <c r="C101" s="111">
        <v>1227.741774</v>
      </c>
      <c r="D101" s="108">
        <v>196727.51</v>
      </c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</row>
    <row r="102">
      <c r="A102" s="127" t="s">
        <v>481</v>
      </c>
      <c r="B102" s="108">
        <v>205398.71</v>
      </c>
      <c r="C102" s="111">
        <v>21753.72162</v>
      </c>
      <c r="D102" s="108">
        <v>227152.43</v>
      </c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</row>
    <row r="103">
      <c r="A103" s="127" t="s">
        <v>325</v>
      </c>
      <c r="B103" s="108">
        <v>186104.62</v>
      </c>
      <c r="C103" s="111">
        <v>65522.78656</v>
      </c>
      <c r="D103" s="108">
        <v>251627.41</v>
      </c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</row>
    <row r="104">
      <c r="A104" s="127" t="s">
        <v>323</v>
      </c>
      <c r="B104" s="92"/>
      <c r="C104" s="111">
        <v>70101.08673</v>
      </c>
      <c r="D104" s="108">
        <v>70101.09</v>
      </c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</row>
    <row r="105">
      <c r="A105" s="127" t="s">
        <v>326</v>
      </c>
      <c r="B105" s="108">
        <v>14209.81</v>
      </c>
      <c r="C105" s="111">
        <v>5770.294348</v>
      </c>
      <c r="D105" s="108">
        <v>19980.1</v>
      </c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</row>
    <row r="106">
      <c r="A106" s="134"/>
      <c r="B106" s="131">
        <f t="shared" ref="B106:D106" si="17">SUM(B96:B105)</f>
        <v>1785034.81</v>
      </c>
      <c r="C106" s="131">
        <f t="shared" si="17"/>
        <v>401281.9493</v>
      </c>
      <c r="D106" s="131">
        <f t="shared" si="17"/>
        <v>2186316.76</v>
      </c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</row>
    <row r="107">
      <c r="A107" s="92"/>
      <c r="B107" s="92"/>
      <c r="C107" s="92"/>
      <c r="D107" s="99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</row>
    <row r="108">
      <c r="A108" s="92" t="s">
        <v>434</v>
      </c>
      <c r="B108" s="92"/>
      <c r="C108" s="92"/>
      <c r="D108" s="99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</row>
    <row r="109">
      <c r="A109" s="98" t="s">
        <v>311</v>
      </c>
      <c r="B109" s="111">
        <v>319618.96</v>
      </c>
      <c r="C109" s="111">
        <v>112726.0</v>
      </c>
      <c r="D109" s="135">
        <v>432345.0</v>
      </c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</row>
    <row r="110">
      <c r="A110" s="98" t="s">
        <v>321</v>
      </c>
      <c r="B110" s="111">
        <v>319618.96</v>
      </c>
      <c r="C110" s="111">
        <v>111491.0</v>
      </c>
      <c r="D110" s="135">
        <v>431110.0</v>
      </c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</row>
    <row r="111">
      <c r="A111" s="98" t="s">
        <v>315</v>
      </c>
      <c r="B111" s="111">
        <v>297728.0</v>
      </c>
      <c r="C111" s="111">
        <v>108566.0</v>
      </c>
      <c r="D111" s="135">
        <v>406294.0</v>
      </c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</row>
    <row r="112">
      <c r="A112" s="98" t="s">
        <v>320</v>
      </c>
      <c r="B112" s="111">
        <v>274737.06</v>
      </c>
      <c r="C112" s="111">
        <v>101917.0</v>
      </c>
      <c r="D112" s="135">
        <v>376654.0</v>
      </c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</row>
    <row r="113">
      <c r="A113" s="98" t="s">
        <v>465</v>
      </c>
      <c r="B113" s="111">
        <v>274737.06</v>
      </c>
      <c r="C113" s="111">
        <v>33740.0</v>
      </c>
      <c r="D113" s="135">
        <v>308477.0</v>
      </c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</row>
    <row r="114">
      <c r="A114" s="98" t="s">
        <v>466</v>
      </c>
      <c r="B114" s="111">
        <v>274737.06</v>
      </c>
      <c r="C114" s="111">
        <v>101355.0</v>
      </c>
      <c r="D114" s="135">
        <v>376092.0</v>
      </c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</row>
    <row r="115">
      <c r="A115" s="98" t="s">
        <v>467</v>
      </c>
      <c r="B115" s="111">
        <v>220009.64</v>
      </c>
      <c r="C115" s="111">
        <v>33456.0</v>
      </c>
      <c r="D115" s="135">
        <v>253465.0</v>
      </c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</row>
    <row r="116">
      <c r="A116" s="98" t="s">
        <v>325</v>
      </c>
      <c r="B116" s="111">
        <v>207909.79</v>
      </c>
      <c r="C116" s="111">
        <v>63109.0</v>
      </c>
      <c r="D116" s="135">
        <v>271019.0</v>
      </c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</row>
    <row r="117">
      <c r="A117" s="98" t="s">
        <v>326</v>
      </c>
      <c r="B117" s="111">
        <v>0.0</v>
      </c>
      <c r="C117" s="111">
        <v>16672.0</v>
      </c>
      <c r="D117" s="135">
        <v>16672.0</v>
      </c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</row>
    <row r="118">
      <c r="A118" s="98" t="s">
        <v>523</v>
      </c>
      <c r="B118" s="136">
        <v>0.0</v>
      </c>
      <c r="C118" s="111">
        <v>48674.0</v>
      </c>
      <c r="D118" s="135">
        <v>48674.0</v>
      </c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</row>
    <row r="119">
      <c r="A119" s="92"/>
      <c r="B119" s="95">
        <f t="shared" ref="B119:D119" si="18">SUM(B109:B118)</f>
        <v>2189096.53</v>
      </c>
      <c r="C119" s="95">
        <f t="shared" si="18"/>
        <v>731706</v>
      </c>
      <c r="D119" s="93">
        <f t="shared" si="18"/>
        <v>2920802</v>
      </c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</row>
    <row r="120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</row>
    <row r="12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</row>
    <row r="122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</row>
    <row r="123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</row>
    <row r="124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</row>
    <row r="125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</row>
    <row r="126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</row>
    <row r="127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</row>
    <row r="128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</row>
    <row r="129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</row>
    <row r="130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</row>
    <row r="13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</row>
    <row r="132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</row>
    <row r="133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</row>
    <row r="134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</row>
    <row r="135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</row>
    <row r="136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</row>
    <row r="137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</row>
    <row r="138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</row>
    <row r="139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</row>
    <row r="140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</row>
    <row r="14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</row>
    <row r="142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</row>
    <row r="143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</row>
    <row r="144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</row>
    <row r="145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</row>
    <row r="146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</row>
    <row r="147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</row>
    <row r="148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</row>
    <row r="149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</row>
    <row r="150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</row>
    <row r="15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</row>
    <row r="152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</row>
    <row r="153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</row>
    <row r="154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</row>
    <row r="155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</row>
    <row r="156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</row>
    <row r="157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</row>
    <row r="158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</row>
    <row r="159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</row>
    <row r="160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</row>
    <row r="16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</row>
    <row r="162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</row>
    <row r="163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</row>
    <row r="164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</row>
    <row r="165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</row>
    <row r="166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</row>
    <row r="167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</row>
    <row r="168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</row>
    <row r="169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</row>
    <row r="170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</row>
    <row r="17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</row>
    <row r="172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</row>
    <row r="173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</row>
    <row r="174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</row>
    <row r="175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</row>
    <row r="176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</row>
    <row r="177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</row>
    <row r="178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</row>
    <row r="179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</row>
    <row r="180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</row>
    <row r="18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</row>
    <row r="182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</row>
    <row r="183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</row>
    <row r="184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</row>
    <row r="185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</row>
    <row r="186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</row>
    <row r="187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</row>
    <row r="188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</row>
    <row r="189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</row>
    <row r="190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</row>
    <row r="19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</row>
    <row r="192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</row>
  </sheetData>
  <drawing r:id="rId1"/>
</worksheet>
</file>